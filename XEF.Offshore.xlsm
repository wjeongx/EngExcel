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EngExcel\"/>
    </mc:Choice>
  </mc:AlternateContent>
  <xr:revisionPtr revIDLastSave="0" documentId="13_ncr:1_{3D9478A5-9B9A-4E0A-98DA-4D85C36CC9A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Front" sheetId="1" r:id="rId1"/>
    <sheet name="Load" sheetId="3" r:id="rId2"/>
    <sheet name="Plates" sheetId="5" r:id="rId3"/>
    <sheet name="Sheet3" sheetId="4" r:id="rId4"/>
  </sheets>
  <externalReferences>
    <externalReference r:id="rId5"/>
  </externalReferences>
  <definedNames>
    <definedName name="grav" localSheetId="1">Load!#REF!</definedName>
    <definedName name="grav" localSheetId="2">Plates!#REF!</definedName>
    <definedName name="grav">[1]Scantling!$E$5</definedName>
    <definedName name="rho" localSheetId="1">Load!#REF!</definedName>
    <definedName name="rho" localSheetId="2">Plates!#REF!</definedName>
    <definedName name="rho">[1]Scantling!$D$5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5" l="1"/>
  <c r="K31" i="5"/>
  <c r="L31" i="5"/>
  <c r="I31" i="5"/>
  <c r="F25" i="5"/>
  <c r="F19" i="5"/>
  <c r="F17" i="5"/>
  <c r="F16" i="5"/>
  <c r="F13" i="5"/>
  <c r="D35" i="3"/>
  <c r="D34" i="3"/>
  <c r="D33" i="3"/>
  <c r="D32" i="3"/>
  <c r="D31" i="3"/>
  <c r="D30" i="3"/>
  <c r="C30" i="3"/>
  <c r="C29" i="3"/>
  <c r="E29" i="3" s="1"/>
  <c r="C31" i="3"/>
  <c r="E31" i="3" s="1"/>
  <c r="D39" i="3"/>
  <c r="D38" i="3"/>
  <c r="D37" i="3"/>
  <c r="D36" i="3"/>
  <c r="E13" i="3"/>
  <c r="C37" i="3" s="1"/>
  <c r="E37" i="3" s="1"/>
  <c r="E11" i="3"/>
  <c r="E10" i="3"/>
  <c r="C28" i="3" s="1"/>
  <c r="E28" i="3" s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C21" i="3" l="1"/>
  <c r="E21" i="3" s="1"/>
  <c r="C22" i="3"/>
  <c r="E22" i="3" s="1"/>
  <c r="E30" i="3"/>
  <c r="C23" i="3"/>
  <c r="E23" i="3" s="1"/>
  <c r="C38" i="3"/>
  <c r="E38" i="3" s="1"/>
  <c r="C35" i="3"/>
  <c r="E35" i="3" s="1"/>
  <c r="C32" i="3"/>
  <c r="E32" i="3" s="1"/>
  <c r="C24" i="3"/>
  <c r="E24" i="3" s="1"/>
  <c r="C17" i="3"/>
  <c r="E17" i="3" s="1"/>
  <c r="C25" i="3"/>
  <c r="E25" i="3" s="1"/>
  <c r="C18" i="3"/>
  <c r="E18" i="3" s="1"/>
  <c r="C26" i="3"/>
  <c r="E26" i="3" s="1"/>
  <c r="C33" i="3"/>
  <c r="E33" i="3" s="1"/>
  <c r="C19" i="3"/>
  <c r="E19" i="3" s="1"/>
  <c r="C27" i="3"/>
  <c r="E27" i="3" s="1"/>
  <c r="C39" i="3"/>
  <c r="E39" i="3" s="1"/>
  <c r="C20" i="3"/>
  <c r="E20" i="3" s="1"/>
  <c r="C34" i="3"/>
  <c r="E34" i="3" s="1"/>
  <c r="C36" i="3"/>
  <c r="E36" i="3" s="1"/>
</calcChain>
</file>

<file path=xl/sharedStrings.xml><?xml version="1.0" encoding="utf-8"?>
<sst xmlns="http://schemas.openxmlformats.org/spreadsheetml/2006/main" count="459" uniqueCount="168">
  <si>
    <t>A</t>
    <phoneticPr fontId="3" type="noConversion"/>
  </si>
  <si>
    <t>a</t>
    <phoneticPr fontId="3" type="noConversion"/>
  </si>
  <si>
    <t>Offshore Structure</t>
    <phoneticPr fontId="3" type="noConversion"/>
  </si>
  <si>
    <t>B</t>
    <phoneticPr fontId="3" type="noConversion"/>
  </si>
  <si>
    <t>b</t>
    <phoneticPr fontId="3" type="noConversion"/>
  </si>
  <si>
    <t>C</t>
    <phoneticPr fontId="3" type="noConversion"/>
  </si>
  <si>
    <t>c</t>
    <phoneticPr fontId="3" type="noConversion"/>
  </si>
  <si>
    <t>NV-NS</t>
    <phoneticPr fontId="3" type="noConversion"/>
  </si>
  <si>
    <t>D</t>
    <phoneticPr fontId="3" type="noConversion"/>
  </si>
  <si>
    <t>d</t>
    <phoneticPr fontId="3" type="noConversion"/>
  </si>
  <si>
    <t>NV-27</t>
    <phoneticPr fontId="3" type="noConversion"/>
  </si>
  <si>
    <t>E</t>
    <phoneticPr fontId="3" type="noConversion"/>
  </si>
  <si>
    <t>e</t>
    <phoneticPr fontId="3" type="noConversion"/>
  </si>
  <si>
    <t>NV-32</t>
    <phoneticPr fontId="3" type="noConversion"/>
  </si>
  <si>
    <t>F</t>
    <phoneticPr fontId="3" type="noConversion"/>
  </si>
  <si>
    <t>f</t>
    <phoneticPr fontId="3" type="noConversion"/>
  </si>
  <si>
    <t>NV-36</t>
    <phoneticPr fontId="3" type="noConversion"/>
  </si>
  <si>
    <t>G</t>
    <phoneticPr fontId="3" type="noConversion"/>
  </si>
  <si>
    <t>g</t>
    <phoneticPr fontId="3" type="noConversion"/>
  </si>
  <si>
    <t>NV-40</t>
    <phoneticPr fontId="3" type="noConversion"/>
  </si>
  <si>
    <t>H</t>
    <phoneticPr fontId="3" type="noConversion"/>
  </si>
  <si>
    <t>h</t>
    <phoneticPr fontId="3" type="noConversion"/>
  </si>
  <si>
    <t>I</t>
    <phoneticPr fontId="3" type="noConversion"/>
  </si>
  <si>
    <t>i</t>
    <phoneticPr fontId="3" type="noConversion"/>
  </si>
  <si>
    <t>J</t>
    <phoneticPr fontId="3" type="noConversion"/>
  </si>
  <si>
    <t>j</t>
    <phoneticPr fontId="3" type="noConversion"/>
  </si>
  <si>
    <t>K</t>
    <phoneticPr fontId="3" type="noConversion"/>
  </si>
  <si>
    <t>k</t>
    <phoneticPr fontId="3" type="noConversion"/>
  </si>
  <si>
    <t>L</t>
    <phoneticPr fontId="3" type="noConversion"/>
  </si>
  <si>
    <t>l</t>
    <phoneticPr fontId="3" type="noConversion"/>
  </si>
  <si>
    <t>M</t>
    <phoneticPr fontId="3" type="noConversion"/>
  </si>
  <si>
    <t>m</t>
    <phoneticPr fontId="3" type="noConversion"/>
  </si>
  <si>
    <t>N</t>
    <phoneticPr fontId="3" type="noConversion"/>
  </si>
  <si>
    <t>n</t>
    <phoneticPr fontId="3" type="noConversion"/>
  </si>
  <si>
    <t>O</t>
    <phoneticPr fontId="3" type="noConversion"/>
  </si>
  <si>
    <t>o</t>
    <phoneticPr fontId="3" type="noConversion"/>
  </si>
  <si>
    <t>P</t>
    <phoneticPr fontId="3" type="noConversion"/>
  </si>
  <si>
    <t>p</t>
    <phoneticPr fontId="3" type="noConversion"/>
  </si>
  <si>
    <t>Q</t>
    <phoneticPr fontId="3" type="noConversion"/>
  </si>
  <si>
    <t>q</t>
    <phoneticPr fontId="3" type="noConversion"/>
  </si>
  <si>
    <t>R</t>
    <phoneticPr fontId="3" type="noConversion"/>
  </si>
  <si>
    <t>r</t>
    <phoneticPr fontId="3" type="noConversion"/>
  </si>
  <si>
    <t>S</t>
    <phoneticPr fontId="3" type="noConversion"/>
  </si>
  <si>
    <t>s</t>
    <phoneticPr fontId="3" type="noConversion"/>
  </si>
  <si>
    <t>T</t>
    <phoneticPr fontId="3" type="noConversion"/>
  </si>
  <si>
    <t>t</t>
    <phoneticPr fontId="3" type="noConversion"/>
  </si>
  <si>
    <t>U</t>
    <phoneticPr fontId="3" type="noConversion"/>
  </si>
  <si>
    <t>u</t>
    <phoneticPr fontId="3" type="noConversion"/>
  </si>
  <si>
    <t>V</t>
    <phoneticPr fontId="3" type="noConversion"/>
  </si>
  <si>
    <t>v</t>
    <phoneticPr fontId="3" type="noConversion"/>
  </si>
  <si>
    <t>W</t>
    <phoneticPr fontId="3" type="noConversion"/>
  </si>
  <si>
    <t>w</t>
    <phoneticPr fontId="3" type="noConversion"/>
  </si>
  <si>
    <t>X</t>
    <phoneticPr fontId="3" type="noConversion"/>
  </si>
  <si>
    <t>x</t>
    <phoneticPr fontId="3" type="noConversion"/>
  </si>
  <si>
    <t>Y</t>
    <phoneticPr fontId="3" type="noConversion"/>
  </si>
  <si>
    <t>y</t>
    <phoneticPr fontId="3" type="noConversion"/>
  </si>
  <si>
    <t>Z</t>
    <phoneticPr fontId="3" type="noConversion"/>
  </si>
  <si>
    <t>z</t>
    <phoneticPr fontId="3" type="noConversion"/>
  </si>
  <si>
    <t>Plating</t>
    <phoneticPr fontId="3" type="noConversion"/>
  </si>
  <si>
    <t>Load Point ( from B/L)</t>
    <phoneticPr fontId="3" type="noConversion"/>
  </si>
  <si>
    <t>zb =</t>
    <phoneticPr fontId="3" type="noConversion"/>
  </si>
  <si>
    <t>from the moulded base line to the load point</t>
  </si>
  <si>
    <t>Extreme oper. draught</t>
    <phoneticPr fontId="3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</si>
  <si>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</si>
  <si>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t xml:space="preserve">water head (TE - zb) </t>
    <phoneticPr fontId="3" type="noConversion"/>
  </si>
  <si>
    <t>z =</t>
    <phoneticPr fontId="3" type="noConversion"/>
  </si>
  <si>
    <t>from mean free surface (defined as positive)</t>
    <phoneticPr fontId="3" type="noConversion"/>
  </si>
  <si>
    <t>trough-to-crest wave height</t>
  </si>
  <si>
    <t>H =</t>
    <phoneticPr fontId="3" type="noConversion"/>
  </si>
  <si>
    <t>period</t>
    <phoneticPr fontId="3" type="noConversion"/>
  </si>
  <si>
    <t>T =</t>
    <phoneticPr fontId="3" type="noConversion"/>
  </si>
  <si>
    <t>sec</t>
    <phoneticPr fontId="3" type="noConversion"/>
  </si>
  <si>
    <r>
      <t>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</si>
  <si>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t>from the moulded baseline to the wave crest.</t>
    <phoneticPr fontId="3" type="noConversion"/>
  </si>
  <si>
    <t>angular wave frequency</t>
  </si>
  <si>
    <r>
      <rPr>
        <sz val="9"/>
        <color theme="1"/>
        <rFont val="Symbol"/>
        <family val="1"/>
        <charset val="2"/>
      </rPr>
      <t xml:space="preserve">w </t>
    </r>
    <r>
      <rPr>
        <sz val="9"/>
        <color theme="1"/>
        <rFont val="맑은 고딕"/>
        <family val="3"/>
        <charset val="129"/>
        <scheme val="minor"/>
      </rPr>
      <t>=</t>
    </r>
    <phoneticPr fontId="3" type="noConversion"/>
  </si>
  <si>
    <t>wave length</t>
    <phoneticPr fontId="3" type="noConversion"/>
  </si>
  <si>
    <r>
      <rPr>
        <sz val="9"/>
        <color theme="1"/>
        <rFont val="Symbol"/>
        <family val="1"/>
        <charset val="2"/>
      </rPr>
      <t xml:space="preserve">l </t>
    </r>
    <r>
      <rPr>
        <sz val="9"/>
        <color theme="1"/>
        <rFont val="맑은 고딕"/>
        <family val="2"/>
        <charset val="129"/>
        <scheme val="minor"/>
      </rPr>
      <t>=</t>
    </r>
    <phoneticPr fontId="3" type="noConversion"/>
  </si>
  <si>
    <t>wave number</t>
    <phoneticPr fontId="3" type="noConversion"/>
  </si>
  <si>
    <t>k =</t>
    <phoneticPr fontId="3" type="noConversion"/>
  </si>
  <si>
    <t>phase angle</t>
  </si>
  <si>
    <t>q =</t>
    <phoneticPr fontId="3" type="noConversion"/>
  </si>
  <si>
    <t>rad</t>
    <phoneticPr fontId="3" type="noConversion"/>
  </si>
  <si>
    <t>Loading</t>
    <phoneticPr fontId="3" type="noConversion"/>
  </si>
  <si>
    <t>Ps</t>
    <phoneticPr fontId="2" type="noConversion"/>
  </si>
  <si>
    <t>Pw</t>
    <phoneticPr fontId="2" type="noConversion"/>
  </si>
  <si>
    <t>P</t>
    <phoneticPr fontId="2" type="noConversion"/>
  </si>
  <si>
    <t>z</t>
    <phoneticPr fontId="2" type="noConversion"/>
  </si>
  <si>
    <t>Block-3 Deck</t>
    <phoneticPr fontId="3" type="noConversion"/>
  </si>
  <si>
    <t>Material factor</t>
    <phoneticPr fontId="3" type="noConversion"/>
  </si>
  <si>
    <t>mm</t>
    <phoneticPr fontId="3" type="noConversion"/>
  </si>
  <si>
    <t>Fixation parameter</t>
    <phoneticPr fontId="3" type="noConversion"/>
  </si>
  <si>
    <t>kpp =</t>
    <phoneticPr fontId="3" type="noConversion"/>
  </si>
  <si>
    <t>External Sea Pressure</t>
    <phoneticPr fontId="3" type="noConversion"/>
  </si>
  <si>
    <t>Load factor for static</t>
    <phoneticPr fontId="3" type="noConversion"/>
  </si>
  <si>
    <t>Load factor for wave</t>
    <phoneticPr fontId="3" type="noConversion"/>
  </si>
  <si>
    <t>Internal tank pressure</t>
    <phoneticPr fontId="3" type="noConversion"/>
  </si>
  <si>
    <t>tank height</t>
    <phoneticPr fontId="3" type="noConversion"/>
  </si>
  <si>
    <t>h =</t>
    <phoneticPr fontId="3" type="noConversion"/>
  </si>
  <si>
    <t>hop =</t>
    <phoneticPr fontId="3" type="noConversion"/>
  </si>
  <si>
    <t>Block-1, Block-2 Bottom Shell</t>
    <phoneticPr fontId="3" type="noConversion"/>
  </si>
  <si>
    <t>fy /</t>
    <phoneticPr fontId="3" type="noConversion"/>
  </si>
  <si>
    <t>l.p /</t>
    <phoneticPr fontId="3" type="noConversion"/>
  </si>
  <si>
    <t>space /</t>
    <phoneticPr fontId="3" type="noConversion"/>
  </si>
  <si>
    <t>span /</t>
    <phoneticPr fontId="3" type="noConversion"/>
  </si>
  <si>
    <t>tc /</t>
    <phoneticPr fontId="3" type="noConversion"/>
  </si>
  <si>
    <t>ka /</t>
    <phoneticPr fontId="3" type="noConversion"/>
  </si>
  <si>
    <t>kpp /</t>
    <phoneticPr fontId="3" type="noConversion"/>
  </si>
  <si>
    <t>tmin /</t>
    <phoneticPr fontId="3" type="noConversion"/>
  </si>
  <si>
    <t>external sea pressure for ultimate limit state</t>
    <phoneticPr fontId="3" type="noConversion"/>
  </si>
  <si>
    <t>internal tank pressure</t>
    <phoneticPr fontId="3" type="noConversion"/>
  </si>
  <si>
    <t>Pe /</t>
    <phoneticPr fontId="3" type="noConversion"/>
  </si>
  <si>
    <t>Pi /</t>
    <phoneticPr fontId="3" type="noConversion"/>
  </si>
  <si>
    <t>pd /</t>
    <phoneticPr fontId="3" type="noConversion"/>
  </si>
  <si>
    <t>treq+tc</t>
    <phoneticPr fontId="3" type="noConversion"/>
  </si>
  <si>
    <t>4.29/4.29/15.04/11.4/11.81</t>
  </si>
  <si>
    <t>Block-1, Block-2 Side Shell -1</t>
    <phoneticPr fontId="3" type="noConversion"/>
  </si>
  <si>
    <t>4.29/4.29/15.04/11.4/11.81</t>
    <phoneticPr fontId="3" type="noConversion"/>
  </si>
  <si>
    <t>Block-1, Block-2 Side Shell -2</t>
    <phoneticPr fontId="3" type="noConversion"/>
  </si>
  <si>
    <t>4.29/1.39/15.04/11.4/11.81</t>
    <phoneticPr fontId="3" type="noConversion"/>
  </si>
  <si>
    <t>Block-1, Block-2 Side Shell -3</t>
    <phoneticPr fontId="3" type="noConversion"/>
  </si>
  <si>
    <t>4.29/1.51/15.04/11.4/11.81</t>
    <phoneticPr fontId="3" type="noConversion"/>
  </si>
  <si>
    <t>Block-1, Block-2 Deck</t>
    <phoneticPr fontId="3" type="noConversion"/>
  </si>
  <si>
    <t>4.29/6.21/15.04/11.4/11.81</t>
    <phoneticPr fontId="3" type="noConversion"/>
  </si>
  <si>
    <t>Block-2 Deck</t>
    <phoneticPr fontId="3" type="noConversion"/>
  </si>
  <si>
    <t>4.29/2.71/15.04/11.4/11.81</t>
    <phoneticPr fontId="3" type="noConversion"/>
  </si>
  <si>
    <t>Block-3 Bottom Shell</t>
    <phoneticPr fontId="3" type="noConversion"/>
  </si>
  <si>
    <t>Block-3 Side Shell-1</t>
    <phoneticPr fontId="3" type="noConversion"/>
  </si>
  <si>
    <t>Block-3 Side Shell-2</t>
    <phoneticPr fontId="3" type="noConversion"/>
  </si>
  <si>
    <t>Block-3 Side Shell-3</t>
    <phoneticPr fontId="3" type="noConversion"/>
  </si>
  <si>
    <t>`</t>
    <phoneticPr fontId="2" type="noConversion"/>
  </si>
  <si>
    <t xml:space="preserve">zb </t>
    <phoneticPr fontId="3" type="noConversion"/>
  </si>
  <si>
    <t xml:space="preserve">fy </t>
    <phoneticPr fontId="3" type="noConversion"/>
  </si>
  <si>
    <t xml:space="preserve">space </t>
    <phoneticPr fontId="3" type="noConversion"/>
  </si>
  <si>
    <t xml:space="preserve">span </t>
    <phoneticPr fontId="3" type="noConversion"/>
  </si>
  <si>
    <t xml:space="preserve">tc </t>
    <phoneticPr fontId="3" type="noConversion"/>
  </si>
  <si>
    <t xml:space="preserve">ka </t>
    <phoneticPr fontId="3" type="noConversion"/>
  </si>
  <si>
    <t>PLT-1</t>
    <phoneticPr fontId="2" type="noConversion"/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</si>
  <si>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3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</si>
  <si>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3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</si>
  <si>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</si>
  <si>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r>
      <t>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</si>
  <si>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r>
      <rPr>
        <sz val="8"/>
        <color theme="1"/>
        <rFont val="Symbol"/>
        <family val="1"/>
        <charset val="2"/>
      </rPr>
      <t xml:space="preserve">w </t>
    </r>
    <r>
      <rPr>
        <sz val="8"/>
        <color theme="1"/>
        <rFont val="맑은 고딕"/>
        <family val="3"/>
        <charset val="129"/>
        <scheme val="minor"/>
      </rPr>
      <t>=</t>
    </r>
    <phoneticPr fontId="3" type="noConversion"/>
  </si>
  <si>
    <r>
      <rPr>
        <sz val="8"/>
        <color theme="1"/>
        <rFont val="Symbol"/>
        <family val="1"/>
        <charset val="2"/>
      </rPr>
      <t xml:space="preserve">l </t>
    </r>
    <r>
      <rPr>
        <sz val="8"/>
        <color theme="1"/>
        <rFont val="맑은 고딕"/>
        <family val="2"/>
        <charset val="129"/>
        <scheme val="minor"/>
      </rPr>
      <t>=</t>
    </r>
    <phoneticPr fontId="3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</si>
  <si>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 xml:space="preserve">G,Q </t>
    </r>
    <r>
      <rPr>
        <sz val="8"/>
        <color theme="1"/>
        <rFont val="맑은 고딕"/>
        <family val="3"/>
        <charset val="129"/>
        <scheme val="minor"/>
      </rPr>
      <t>=</t>
    </r>
    <phoneticPr fontId="3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</si>
  <si>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3"/>
        <charset val="129"/>
        <scheme val="minor"/>
      </rPr>
      <t xml:space="preserve"> =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</si>
  <si>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</si>
  <si>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3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</si>
  <si>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</si>
  <si>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</si>
  <si>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3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</si>
  <si>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3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</si>
  <si>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3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</si>
  <si>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3" type="noConversion"/>
  </si>
  <si>
    <t>m</t>
    <phoneticPr fontId="2" type="noConversion"/>
  </si>
  <si>
    <t>PLT-2</t>
  </si>
  <si>
    <t>PLT-3</t>
  </si>
  <si>
    <t>PLT-4</t>
  </si>
  <si>
    <t>PLT-5</t>
  </si>
  <si>
    <t>PLT-6</t>
  </si>
  <si>
    <t>PLT-7</t>
  </si>
  <si>
    <t>PLT-8</t>
  </si>
  <si>
    <t>Pe</t>
    <phoneticPr fontId="2" type="noConversion"/>
  </si>
  <si>
    <t>Pi</t>
    <phoneticPr fontId="2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</si>
  <si>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3" type="noConversion"/>
  </si>
  <si>
    <t>tmin</t>
    <phoneticPr fontId="2" type="noConversion"/>
  </si>
  <si>
    <t>treq</t>
    <phoneticPr fontId="2" type="noConversion"/>
  </si>
  <si>
    <t>mm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</si>
</sst>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_ "/>
    <numFmt numFmtId="178" formatCode="0.0"/>
  </numFmts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9"/>
      <color theme="1"/>
      <name val="Symbol"/>
      <family val="1"/>
      <charset val="2"/>
    </font>
    <font>
      <sz val="10"/>
      <color theme="1"/>
      <name val="맑은 고딕"/>
      <family val="2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b/>
      <u/>
      <sz val="8"/>
      <color theme="1"/>
      <name val="맑은 고딕"/>
      <family val="3"/>
      <charset val="129"/>
      <scheme val="minor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7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1" fillId="2" borderId="0" xfId="1" applyFill="1">
      <alignment vertical="center"/>
    </xf>
    <xf numFmtId="0" fontId="1" fillId="3" borderId="0" xfId="1" applyFill="1">
      <alignment vertical="center"/>
    </xf>
    <xf numFmtId="0" fontId="7" fillId="3" borderId="0" xfId="1" applyFont="1" applyFill="1">
      <alignment vertical="center"/>
    </xf>
    <xf numFmtId="0" fontId="1" fillId="0" borderId="0" xfId="1">
      <alignment vertical="center"/>
    </xf>
    <xf numFmtId="0" fontId="7" fillId="2" borderId="0" xfId="1" applyFont="1" applyFill="1">
      <alignment vertical="center"/>
    </xf>
    <xf numFmtId="0" fontId="7" fillId="2" borderId="0" xfId="1" applyFont="1" applyFill="1" applyAlignment="1">
      <alignment horizontal="right" vertical="center"/>
    </xf>
    <xf numFmtId="0" fontId="7" fillId="2" borderId="0" xfId="1" applyFont="1" applyFill="1" applyAlignment="1">
      <alignment horizontal="center" vertical="center"/>
    </xf>
    <xf numFmtId="0" fontId="6" fillId="2" borderId="0" xfId="1" applyFont="1" applyFill="1">
      <alignment vertical="center"/>
    </xf>
    <xf numFmtId="0" fontId="10" fillId="2" borderId="0" xfId="1" applyFont="1" applyFill="1" applyAlignment="1">
      <alignment horizontal="right" vertical="center"/>
    </xf>
    <xf numFmtId="0" fontId="11" fillId="2" borderId="0" xfId="1" applyFont="1" applyFill="1" applyAlignment="1">
      <alignment horizontal="right" vertical="center"/>
    </xf>
    <xf numFmtId="0" fontId="5" fillId="2" borderId="0" xfId="1" applyFont="1" applyFill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12" fillId="2" borderId="0" xfId="1" applyFont="1" applyFill="1">
      <alignment vertical="center"/>
    </xf>
    <xf numFmtId="176" fontId="12" fillId="2" borderId="2" xfId="1" applyNumberFormat="1" applyFont="1" applyFill="1" applyBorder="1">
      <alignment vertical="center"/>
    </xf>
    <xf numFmtId="0" fontId="12" fillId="2" borderId="2" xfId="1" applyFont="1" applyFill="1" applyBorder="1" applyAlignment="1">
      <alignment horizontal="center" vertical="center"/>
    </xf>
    <xf numFmtId="0" fontId="12" fillId="2" borderId="2" xfId="1" applyFont="1" applyFill="1" applyBorder="1">
      <alignment vertical="center"/>
    </xf>
    <xf numFmtId="2" fontId="12" fillId="2" borderId="2" xfId="1" applyNumberFormat="1" applyFont="1" applyFill="1" applyBorder="1">
      <alignment vertical="center"/>
    </xf>
    <xf numFmtId="176" fontId="12" fillId="2" borderId="2" xfId="2" applyNumberFormat="1" applyFont="1" applyFill="1" applyBorder="1">
      <alignment vertical="center"/>
    </xf>
    <xf numFmtId="2" fontId="12" fillId="2" borderId="2" xfId="1" applyNumberFormat="1" applyFont="1" applyFill="1" applyBorder="1" applyAlignment="1">
      <alignment horizontal="center" vertical="center"/>
    </xf>
    <xf numFmtId="176" fontId="7" fillId="5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2" fontId="7" fillId="5" borderId="2" xfId="1" applyNumberFormat="1" applyFont="1" applyFill="1" applyBorder="1" applyAlignment="1">
      <alignment horizontal="center" vertical="center"/>
    </xf>
    <xf numFmtId="178" fontId="6" fillId="5" borderId="2" xfId="1" applyNumberFormat="1" applyFont="1" applyFill="1" applyBorder="1" applyAlignment="1">
      <alignment horizontal="center" vertical="center"/>
    </xf>
    <xf numFmtId="176" fontId="6" fillId="5" borderId="2" xfId="1" applyNumberFormat="1" applyFont="1" applyFill="1" applyBorder="1" applyAlignment="1">
      <alignment horizontal="center" vertical="center"/>
    </xf>
    <xf numFmtId="178" fontId="7" fillId="5" borderId="2" xfId="1" applyNumberFormat="1" applyFont="1" applyFill="1" applyBorder="1" applyAlignment="1">
      <alignment horizontal="center" vertical="center"/>
    </xf>
    <xf numFmtId="0" fontId="13" fillId="2" borderId="0" xfId="1" applyFont="1" applyFill="1">
      <alignment vertical="center"/>
    </xf>
    <xf numFmtId="0" fontId="13" fillId="3" borderId="0" xfId="1" applyFont="1" applyFill="1">
      <alignment vertical="center"/>
    </xf>
    <xf numFmtId="0" fontId="13" fillId="3" borderId="0" xfId="1" applyFont="1" applyFill="1" applyAlignment="1">
      <alignment horizontal="center" vertical="center"/>
    </xf>
    <xf numFmtId="0" fontId="14" fillId="4" borderId="1" xfId="1" applyFont="1" applyFill="1" applyBorder="1" applyAlignment="1">
      <alignment horizontal="left" vertical="center"/>
    </xf>
    <xf numFmtId="0" fontId="13" fillId="4" borderId="0" xfId="1" applyFont="1" applyFill="1">
      <alignment vertical="center"/>
    </xf>
    <xf numFmtId="0" fontId="14" fillId="3" borderId="0" xfId="1" applyFont="1" applyFill="1">
      <alignment vertical="center"/>
    </xf>
    <xf numFmtId="0" fontId="14" fillId="3" borderId="0" xfId="1" applyFont="1" applyFill="1" applyAlignment="1">
      <alignment horizontal="right" vertical="center"/>
    </xf>
    <xf numFmtId="176" fontId="13" fillId="4" borderId="2" xfId="1" applyNumberFormat="1" applyFont="1" applyFill="1" applyBorder="1" applyAlignment="1">
      <alignment horizontal="center" vertical="center"/>
    </xf>
    <xf numFmtId="0" fontId="14" fillId="3" borderId="0" xfId="1" applyFont="1" applyFill="1" applyAlignment="1">
      <alignment horizontal="center" vertical="center"/>
    </xf>
    <xf numFmtId="0" fontId="13" fillId="3" borderId="0" xfId="1" applyFont="1" applyFill="1" applyAlignment="1">
      <alignment horizontal="right" vertical="center"/>
    </xf>
    <xf numFmtId="0" fontId="16" fillId="3" borderId="0" xfId="1" applyFont="1" applyFill="1" applyAlignment="1">
      <alignment horizontal="right" vertical="center"/>
    </xf>
    <xf numFmtId="0" fontId="13" fillId="4" borderId="2" xfId="1" applyFont="1" applyFill="1" applyBorder="1" applyAlignment="1">
      <alignment horizontal="center" vertical="center"/>
    </xf>
    <xf numFmtId="176" fontId="14" fillId="4" borderId="2" xfId="1" applyNumberFormat="1" applyFont="1" applyFill="1" applyBorder="1" applyAlignment="1">
      <alignment horizontal="center" vertical="center"/>
    </xf>
    <xf numFmtId="178" fontId="14" fillId="4" borderId="2" xfId="1" applyNumberFormat="1" applyFont="1" applyFill="1" applyBorder="1" applyAlignment="1">
      <alignment horizontal="center" vertical="center"/>
    </xf>
    <xf numFmtId="0" fontId="19" fillId="3" borderId="0" xfId="1" applyFont="1" applyFill="1">
      <alignment vertical="center"/>
    </xf>
    <xf numFmtId="177" fontId="13" fillId="4" borderId="2" xfId="1" applyNumberFormat="1" applyFont="1" applyFill="1" applyBorder="1" applyAlignment="1">
      <alignment horizontal="center" vertical="center"/>
    </xf>
    <xf numFmtId="0" fontId="21" fillId="3" borderId="0" xfId="1" applyFont="1" applyFill="1" applyAlignment="1">
      <alignment horizontal="right" vertical="center"/>
    </xf>
    <xf numFmtId="2" fontId="13" fillId="4" borderId="2" xfId="1" applyNumberFormat="1" applyFont="1" applyFill="1" applyBorder="1" applyAlignment="1">
      <alignment horizontal="center" vertical="center"/>
    </xf>
    <xf numFmtId="0" fontId="17" fillId="3" borderId="0" xfId="1" applyFont="1" applyFill="1" applyAlignment="1">
      <alignment horizontal="right" vertical="center"/>
    </xf>
    <xf numFmtId="2" fontId="14" fillId="4" borderId="2" xfId="1" applyNumberFormat="1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4" fillId="4" borderId="1" xfId="1" applyFont="1" applyFill="1" applyBorder="1" applyAlignment="1">
      <alignment horizontal="center" vertical="center"/>
    </xf>
    <xf numFmtId="0" fontId="14" fillId="4" borderId="4" xfId="1" applyFont="1" applyFill="1" applyBorder="1" applyAlignment="1">
      <alignment horizontal="center" vertical="center"/>
    </xf>
    <xf numFmtId="0" fontId="14" fillId="4" borderId="5" xfId="1" applyFont="1" applyFill="1" applyBorder="1" applyAlignment="1">
      <alignment horizontal="center" vertical="center"/>
    </xf>
    <xf numFmtId="0" fontId="21" fillId="4" borderId="6" xfId="1" applyFont="1" applyFill="1" applyBorder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6" fillId="4" borderId="6" xfId="1" applyFont="1" applyFill="1" applyBorder="1" applyAlignment="1">
      <alignment horizontal="center" vertical="center"/>
    </xf>
    <xf numFmtId="0" fontId="14" fillId="4" borderId="6" xfId="1" applyFont="1" applyFill="1" applyBorder="1" applyAlignment="1">
      <alignment horizontal="center" vertical="center"/>
    </xf>
    <xf numFmtId="0" fontId="14" fillId="4" borderId="7" xfId="1" applyFont="1" applyFill="1" applyBorder="1" applyAlignment="1">
      <alignment horizontal="center" vertical="center"/>
    </xf>
    <xf numFmtId="1" fontId="14" fillId="4" borderId="8" xfId="1" applyNumberFormat="1" applyFont="1" applyFill="1" applyBorder="1" applyAlignment="1">
      <alignment horizontal="center" vertical="center"/>
    </xf>
    <xf numFmtId="2" fontId="14" fillId="4" borderId="9" xfId="1" applyNumberFormat="1" applyFont="1" applyFill="1" applyBorder="1" applyAlignment="1">
      <alignment horizontal="center" vertical="center"/>
    </xf>
    <xf numFmtId="0" fontId="13" fillId="4" borderId="9" xfId="1" applyFont="1" applyFill="1" applyBorder="1" applyAlignment="1">
      <alignment horizontal="center" vertical="center"/>
    </xf>
    <xf numFmtId="0" fontId="14" fillId="4" borderId="9" xfId="1" applyFont="1" applyFill="1" applyBorder="1" applyAlignment="1">
      <alignment horizontal="center" vertical="center"/>
    </xf>
    <xf numFmtId="1" fontId="14" fillId="4" borderId="9" xfId="1" applyNumberFormat="1" applyFont="1" applyFill="1" applyBorder="1" applyAlignment="1">
      <alignment horizontal="center" vertical="center"/>
    </xf>
    <xf numFmtId="2" fontId="14" fillId="4" borderId="10" xfId="1" applyNumberFormat="1" applyFont="1" applyFill="1" applyBorder="1" applyAlignment="1">
      <alignment horizontal="center" vertical="center"/>
    </xf>
    <xf numFmtId="1" fontId="22" fillId="4" borderId="6" xfId="1" applyNumberFormat="1" applyFont="1" applyFill="1" applyBorder="1">
      <alignment vertical="center"/>
    </xf>
    <xf numFmtId="2" fontId="14" fillId="4" borderId="6" xfId="1" applyNumberFormat="1" applyFont="1" applyFill="1" applyBorder="1" applyAlignment="1">
      <alignment horizontal="center" vertical="center"/>
    </xf>
    <xf numFmtId="1" fontId="14" fillId="4" borderId="6" xfId="1" applyNumberFormat="1" applyFont="1" applyFill="1" applyBorder="1" applyAlignment="1">
      <alignment horizontal="center" vertical="center"/>
    </xf>
    <xf numFmtId="2" fontId="14" fillId="4" borderId="11" xfId="1" applyNumberFormat="1" applyFont="1" applyFill="1" applyBorder="1" applyAlignment="1">
      <alignment horizontal="center" vertical="center"/>
    </xf>
    <xf numFmtId="2" fontId="14" fillId="4" borderId="12" xfId="1" applyNumberFormat="1" applyFont="1" applyFill="1" applyBorder="1">
      <alignment vertical="center"/>
    </xf>
    <xf numFmtId="2" fontId="14" fillId="4" borderId="0" xfId="1" applyNumberFormat="1" applyFont="1" applyFill="1" applyAlignment="1">
      <alignment horizontal="center" vertical="center"/>
    </xf>
    <xf numFmtId="0" fontId="14" fillId="4" borderId="0" xfId="1" applyFont="1" applyFill="1" applyAlignment="1">
      <alignment horizontal="center" vertical="center"/>
    </xf>
    <xf numFmtId="0" fontId="14" fillId="4" borderId="13" xfId="1" applyFont="1" applyFill="1" applyBorder="1" applyAlignment="1">
      <alignment horizontal="center" vertical="center"/>
    </xf>
    <xf numFmtId="0" fontId="13" fillId="4" borderId="6" xfId="1" applyFont="1" applyFill="1" applyBorder="1">
      <alignment vertical="center"/>
    </xf>
    <xf numFmtId="0" fontId="13" fillId="4" borderId="11" xfId="1" applyFont="1" applyFill="1" applyBorder="1" applyAlignment="1">
      <alignment horizontal="center" vertical="center"/>
    </xf>
    <xf numFmtId="0" fontId="13" fillId="4" borderId="12" xfId="1" applyFont="1" applyFill="1" applyBorder="1" applyAlignment="1">
      <alignment horizontal="center" vertical="center"/>
    </xf>
    <xf numFmtId="0" fontId="14" fillId="4" borderId="11" xfId="1" applyFont="1" applyFill="1" applyBorder="1" applyAlignment="1">
      <alignment horizontal="center" vertical="center"/>
    </xf>
    <xf numFmtId="0" fontId="13" fillId="4" borderId="9" xfId="1" applyFont="1" applyFill="1" applyBorder="1">
      <alignment vertical="center"/>
    </xf>
    <xf numFmtId="1" fontId="13" fillId="4" borderId="9" xfId="1" applyNumberFormat="1" applyFont="1" applyFill="1" applyBorder="1" applyAlignment="1">
      <alignment horizontal="center" vertical="center"/>
    </xf>
    <xf numFmtId="178" fontId="13" fillId="4" borderId="9" xfId="1" applyNumberFormat="1" applyFont="1" applyFill="1" applyBorder="1" applyAlignment="1">
      <alignment horizontal="center" vertical="center"/>
    </xf>
    <xf numFmtId="178" fontId="13" fillId="4" borderId="14" xfId="1" applyNumberFormat="1" applyFont="1" applyFill="1" applyBorder="1" applyAlignment="1">
      <alignment horizontal="center" vertical="center"/>
    </xf>
    <xf numFmtId="1" fontId="14" fillId="4" borderId="15" xfId="1" applyNumberFormat="1" applyFont="1" applyFill="1" applyBorder="1" applyAlignment="1">
      <alignment horizontal="center" vertical="center"/>
    </xf>
    <xf numFmtId="1" fontId="14" fillId="4" borderId="14" xfId="1" applyNumberFormat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3" fillId="3" borderId="2" xfId="1" applyFont="1" applyFill="1" applyBorder="1">
      <alignment vertical="center"/>
    </xf>
    <xf numFmtId="0" fontId="14" fillId="3" borderId="2" xfId="1" applyFont="1" applyFill="1" applyBorder="1" applyAlignment="1">
      <alignment horizontal="center" vertical="center"/>
    </xf>
    <xf numFmtId="0" fontId="13" fillId="3" borderId="2" xfId="1" applyFont="1" applyFill="1" applyBorder="1" applyAlignment="1">
      <alignment horizontal="center" vertical="center"/>
    </xf>
    <xf numFmtId="0" fontId="16" fillId="3" borderId="2" xfId="1" applyFont="1" applyFill="1" applyBorder="1" applyAlignment="1">
      <alignment horizontal="center" vertical="center"/>
    </xf>
    <xf numFmtId="1" fontId="13" fillId="3" borderId="2" xfId="1" applyNumberFormat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3" fillId="3" borderId="0" xfId="1" applyFont="1" applyFill="1" applyAlignment="1">
      <alignment horizontal="center" vertical="center"/>
    </xf>
    <xf numFmtId="176" fontId="14" fillId="3" borderId="2" xfId="1" applyNumberFormat="1" applyFont="1" applyFill="1" applyBorder="1" applyAlignment="1">
      <alignment horizontal="center" vertical="center"/>
    </xf>
    <xf numFmtId="178" fontId="14" fillId="3" borderId="2" xfId="1" applyNumberFormat="1" applyFont="1" applyFill="1" applyBorder="1" applyAlignment="1">
      <alignment horizontal="center" vertical="center"/>
    </xf>
    <xf numFmtId="0" fontId="14" fillId="3" borderId="16" xfId="1" applyFont="1" applyFill="1" applyBorder="1" applyAlignment="1">
      <alignment horizontal="center" vertical="center"/>
    </xf>
    <xf numFmtId="0" fontId="14" fillId="3" borderId="17" xfId="1" applyFont="1" applyFill="1" applyBorder="1" applyAlignment="1">
      <alignment horizontal="center" vertical="center"/>
    </xf>
    <xf numFmtId="0" fontId="13" fillId="3" borderId="16" xfId="1" applyFont="1" applyFill="1" applyBorder="1" applyAlignment="1">
      <alignment horizontal="center" vertical="center"/>
    </xf>
    <xf numFmtId="0" fontId="13" fillId="3" borderId="17" xfId="1" applyFont="1" applyFill="1" applyBorder="1" applyAlignment="1">
      <alignment horizontal="center" vertical="center"/>
    </xf>
    <xf numFmtId="178" fontId="13" fillId="3" borderId="2" xfId="1" applyNumberFormat="1" applyFont="1" applyFill="1" applyBorder="1" applyAlignment="1">
      <alignment horizontal="center" vertical="center"/>
    </xf>
  </cellXfs>
  <cellStyles count="3">
    <cellStyle name="백분율 2" xfId="2" xr:uid="{C4EA7A45-F508-40D6-BDCD-5FFE1683725D}"/>
    <cellStyle name="표준" xfId="0" builtinId="0"/>
    <cellStyle name="표준 2" xfId="1" xr:uid="{321D5B45-FD5B-4D33-BF5E-AE3ABAA1C2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Load!$C$17:$C$39</c:f>
              <c:numCache>
                <c:formatCode>General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 formatCode="0.00">
                  <c:v>74.078713487742831</c:v>
                </c:pt>
                <c:pt idx="15" formatCode="0.00">
                  <c:v>69.891957257633024</c:v>
                </c:pt>
                <c:pt idx="16" formatCode="0.00">
                  <c:v>65.941826731522028</c:v>
                </c:pt>
                <c:pt idx="17" formatCode="0.00">
                  <c:v>62.214948376126422</c:v>
                </c:pt>
                <c:pt idx="18" formatCode="0.00">
                  <c:v>58.698704499094106</c:v>
                </c:pt>
                <c:pt idx="19" formatCode="0.00">
                  <c:v>55.381190530636481</c:v>
                </c:pt>
                <c:pt idx="20" formatCode="0.00">
                  <c:v>52.251174719503297</c:v>
                </c:pt>
                <c:pt idx="21" formatCode="0.00">
                  <c:v>49.298060106846947</c:v>
                </c:pt>
                <c:pt idx="22" formatCode="0.00">
                  <c:v>46.511848649235439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1-4661-B34A-CF9B871B51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Load!$E$17:$E$39</c:f>
              <c:numCache>
                <c:formatCode>0.00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>
                  <c:v>76.994735987742828</c:v>
                </c:pt>
                <c:pt idx="15">
                  <c:v>77.835604757633021</c:v>
                </c:pt>
                <c:pt idx="16">
                  <c:v>78.913099231522025</c:v>
                </c:pt>
                <c:pt idx="17">
                  <c:v>80.213845876126413</c:v>
                </c:pt>
                <c:pt idx="18">
                  <c:v>81.725226999094104</c:v>
                </c:pt>
                <c:pt idx="19">
                  <c:v>83.435338030636473</c:v>
                </c:pt>
                <c:pt idx="20">
                  <c:v>85.332947219503296</c:v>
                </c:pt>
                <c:pt idx="21">
                  <c:v>87.407457606846947</c:v>
                </c:pt>
                <c:pt idx="22">
                  <c:v>89.648871149235433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21-4661-B34A-CF9B871B5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514591"/>
        <c:axId val="1293665663"/>
      </c:scatterChart>
      <c:valAx>
        <c:axId val="115851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3665663"/>
        <c:crosses val="autoZero"/>
        <c:crossBetween val="midCat"/>
      </c:valAx>
      <c:valAx>
        <c:axId val="129366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851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A71CA03-0C6F-455C-83E9-883A144D18CF}"/>
            </a:ext>
          </a:extLst>
        </xdr:cNvPr>
        <xdr:cNvSpPr/>
      </xdr:nvSpPr>
      <xdr:spPr>
        <a:xfrm>
          <a:off x="0" y="0"/>
          <a:ext cx="2032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[1]Front!E1">
      <xdr:nvSpPr>
        <xdr:cNvPr id="3" name="직사각형 2">
          <a:extLst>
            <a:ext uri="{FF2B5EF4-FFF2-40B4-BE49-F238E27FC236}">
              <a16:creationId xmlns:a16="http://schemas.microsoft.com/office/drawing/2014/main" id="{30FE2BF5-F3B0-4BC4-B51F-DC1E551FFF97}"/>
            </a:ext>
          </a:extLst>
        </xdr:cNvPr>
        <xdr:cNvSpPr/>
      </xdr:nvSpPr>
      <xdr:spPr>
        <a:xfrm>
          <a:off x="2032732" y="1"/>
          <a:ext cx="4063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E168BD2-15BE-45CB-A5B0-A31364383677}"/>
            </a:ext>
          </a:extLst>
        </xdr:cNvPr>
        <xdr:cNvSpPr/>
      </xdr:nvSpPr>
      <xdr:spPr>
        <a:xfrm>
          <a:off x="2032000" y="457201"/>
          <a:ext cx="40640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5</xdr:col>
      <xdr:colOff>268014</xdr:colOff>
      <xdr:row>15</xdr:row>
      <xdr:rowOff>457</xdr:rowOff>
    </xdr:from>
    <xdr:to>
      <xdr:col>11</xdr:col>
      <xdr:colOff>352097</xdr:colOff>
      <xdr:row>39</xdr:row>
      <xdr:rowOff>42497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3762E79D-93E9-4F23-A5C8-C0F83FC36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4</xdr:row>
      <xdr:rowOff>149086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18168C4F-C7B6-B078-E945-99E626E874A2}"/>
            </a:ext>
          </a:extLst>
        </xdr:cNvPr>
        <xdr:cNvSpPr/>
      </xdr:nvSpPr>
      <xdr:spPr>
        <a:xfrm>
          <a:off x="0" y="0"/>
          <a:ext cx="2020957" cy="745434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115955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EC49552-9347-47FB-A624-5B2B0250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015" cy="861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137948</xdr:colOff>
      <xdr:row>17</xdr:row>
      <xdr:rowOff>0</xdr:rowOff>
    </xdr:from>
    <xdr:to>
      <xdr:col>11</xdr:col>
      <xdr:colOff>6064</xdr:colOff>
      <xdr:row>20</xdr:row>
      <xdr:rowOff>4605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D01F80-71F2-4338-BAF6-A27DF9DF7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19551" y="2417379"/>
          <a:ext cx="1576047" cy="4578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82D77C-FA97-4487-A313-4D0423E3DA61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12</xdr:col>
      <xdr:colOff>505556</xdr:colOff>
      <xdr:row>3</xdr:row>
      <xdr:rowOff>0</xdr:rowOff>
    </xdr:to>
    <xdr:sp macro="" textlink="[1]Front!E1">
      <xdr:nvSpPr>
        <xdr:cNvPr id="4" name="직사각형 3">
          <a:extLst>
            <a:ext uri="{FF2B5EF4-FFF2-40B4-BE49-F238E27FC236}">
              <a16:creationId xmlns:a16="http://schemas.microsoft.com/office/drawing/2014/main" id="{6C3D058F-64A4-42AF-BCB6-2E5C23CF0CF8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B13829C-FF3C-4158-AD28-132E652B2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13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C5F16CD2-7F9B-476B-B114-6AB16447ABD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gExcel\XET.Offshore_scantling.xlsm" TargetMode="External"/><Relationship Id="rId1" Type="http://schemas.openxmlformats.org/officeDocument/2006/relationships/externalLinkPath" Target="XET.Offshore_scantl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"/>
      <sheetName val="Scantling"/>
      <sheetName val="Load"/>
      <sheetName val="Plates"/>
      <sheetName val="Stiffeners"/>
      <sheetName val="Sheet1"/>
      <sheetName val="Girder"/>
    </sheetNames>
    <sheetDataSet>
      <sheetData sheetId="0"/>
      <sheetData sheetId="1">
        <row r="5">
          <cell r="D5">
            <v>1.0249999999999999</v>
          </cell>
          <cell r="E5">
            <v>9.81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J27" sqref="J27"/>
    </sheetView>
  </sheetViews>
  <sheetFormatPr defaultRowHeight="16.5" x14ac:dyDescent="0.3"/>
  <sheetData>
    <row r="1" spans="1:10" x14ac:dyDescent="0.3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3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3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1"/>
    </row>
    <row r="4" spans="1:10" x14ac:dyDescent="0.3">
      <c r="A4" s="1" t="s">
        <v>8</v>
      </c>
      <c r="B4" s="2" t="s">
        <v>8</v>
      </c>
      <c r="C4" s="2" t="str">
        <f t="shared" si="0"/>
        <v>d</v>
      </c>
      <c r="D4" s="1" t="s">
        <v>9</v>
      </c>
      <c r="E4" s="1" t="s">
        <v>10</v>
      </c>
      <c r="F4" s="1">
        <v>265</v>
      </c>
      <c r="G4" s="1">
        <v>1.08</v>
      </c>
      <c r="H4" s="3">
        <f>1/G4</f>
        <v>0.92592592592592582</v>
      </c>
      <c r="I4" s="1"/>
      <c r="J4" s="1"/>
    </row>
    <row r="5" spans="1:10" x14ac:dyDescent="0.3">
      <c r="A5" s="1" t="s">
        <v>11</v>
      </c>
      <c r="B5" s="2" t="s">
        <v>11</v>
      </c>
      <c r="C5" s="2" t="str">
        <f t="shared" si="0"/>
        <v>e</v>
      </c>
      <c r="D5" s="1" t="s">
        <v>12</v>
      </c>
      <c r="E5" s="1" t="s">
        <v>13</v>
      </c>
      <c r="F5" s="1">
        <v>315</v>
      </c>
      <c r="G5" s="1">
        <v>1.28</v>
      </c>
      <c r="H5" s="3">
        <f>1/G5</f>
        <v>0.78125</v>
      </c>
      <c r="I5" s="1"/>
      <c r="J5" s="1"/>
    </row>
    <row r="6" spans="1:10" x14ac:dyDescent="0.3">
      <c r="A6" s="1" t="s">
        <v>14</v>
      </c>
      <c r="B6" s="2" t="s">
        <v>14</v>
      </c>
      <c r="C6" s="2" t="str">
        <f t="shared" si="0"/>
        <v>f</v>
      </c>
      <c r="D6" s="1" t="s">
        <v>15</v>
      </c>
      <c r="E6" s="1" t="s">
        <v>16</v>
      </c>
      <c r="F6" s="1">
        <v>355</v>
      </c>
      <c r="G6" s="1">
        <v>1.39</v>
      </c>
      <c r="H6" s="3">
        <f>1/G6</f>
        <v>0.71942446043165476</v>
      </c>
      <c r="I6" s="1"/>
      <c r="J6" s="1"/>
    </row>
    <row r="7" spans="1:10" x14ac:dyDescent="0.3">
      <c r="A7" s="1" t="s">
        <v>17</v>
      </c>
      <c r="B7" s="2" t="s">
        <v>17</v>
      </c>
      <c r="C7" s="2" t="str">
        <f t="shared" si="0"/>
        <v>g</v>
      </c>
      <c r="D7" s="1" t="s">
        <v>18</v>
      </c>
      <c r="E7" s="1" t="s">
        <v>19</v>
      </c>
      <c r="F7" s="1">
        <v>390</v>
      </c>
      <c r="G7" s="1">
        <v>1.47</v>
      </c>
      <c r="H7" s="3">
        <f>1/G7</f>
        <v>0.68027210884353739</v>
      </c>
      <c r="I7" s="1"/>
      <c r="J7" s="1"/>
    </row>
    <row r="8" spans="1:10" x14ac:dyDescent="0.3">
      <c r="A8" s="1" t="s">
        <v>20</v>
      </c>
      <c r="B8" s="2" t="s">
        <v>20</v>
      </c>
      <c r="C8" s="2" t="str">
        <f t="shared" si="0"/>
        <v>h</v>
      </c>
      <c r="D8" s="1" t="s">
        <v>21</v>
      </c>
      <c r="E8" s="1"/>
      <c r="F8" s="1"/>
      <c r="G8" s="1"/>
      <c r="H8" s="1"/>
      <c r="I8" s="1"/>
      <c r="J8" s="1"/>
    </row>
    <row r="9" spans="1:10" x14ac:dyDescent="0.3">
      <c r="A9" s="1" t="s">
        <v>22</v>
      </c>
      <c r="B9" s="2" t="s">
        <v>22</v>
      </c>
      <c r="C9" s="2" t="str">
        <f t="shared" si="0"/>
        <v>i</v>
      </c>
      <c r="D9" s="1" t="s">
        <v>23</v>
      </c>
      <c r="E9" s="1"/>
      <c r="F9" s="1"/>
      <c r="G9" s="1"/>
      <c r="H9" s="1"/>
      <c r="I9" s="1"/>
      <c r="J9" s="1"/>
    </row>
    <row r="10" spans="1:10" x14ac:dyDescent="0.3">
      <c r="A10" s="1" t="s">
        <v>24</v>
      </c>
      <c r="B10" s="2" t="s">
        <v>24</v>
      </c>
      <c r="C10" s="2" t="str">
        <f t="shared" si="0"/>
        <v>j</v>
      </c>
      <c r="D10" s="1" t="s">
        <v>25</v>
      </c>
      <c r="E10" s="1"/>
      <c r="F10" s="1"/>
      <c r="G10" s="1"/>
      <c r="H10" s="1"/>
      <c r="I10" s="1"/>
      <c r="J10" s="1"/>
    </row>
    <row r="11" spans="1:10" x14ac:dyDescent="0.3">
      <c r="A11" s="1" t="s">
        <v>26</v>
      </c>
      <c r="B11" s="2" t="s">
        <v>26</v>
      </c>
      <c r="C11" s="2" t="str">
        <f t="shared" si="0"/>
        <v>k</v>
      </c>
      <c r="D11" s="1" t="s">
        <v>27</v>
      </c>
      <c r="E11" s="1"/>
      <c r="F11" s="1"/>
      <c r="G11" s="1"/>
      <c r="H11" s="1"/>
      <c r="I11" s="1"/>
      <c r="J11" s="1"/>
    </row>
    <row r="12" spans="1:10" x14ac:dyDescent="0.3">
      <c r="A12" s="1" t="s">
        <v>28</v>
      </c>
      <c r="B12" s="2" t="s">
        <v>28</v>
      </c>
      <c r="C12" s="2" t="str">
        <f t="shared" si="0"/>
        <v>l</v>
      </c>
      <c r="D12" s="1" t="s">
        <v>29</v>
      </c>
      <c r="E12" s="1"/>
      <c r="F12" s="1"/>
      <c r="G12" s="1"/>
      <c r="H12" s="1"/>
      <c r="I12" s="1"/>
      <c r="J12" s="1"/>
    </row>
    <row r="13" spans="1:10" x14ac:dyDescent="0.3">
      <c r="A13" s="1" t="s">
        <v>30</v>
      </c>
      <c r="B13" s="2" t="s">
        <v>30</v>
      </c>
      <c r="C13" s="2" t="str">
        <f t="shared" si="0"/>
        <v>m</v>
      </c>
      <c r="D13" s="1" t="s">
        <v>31</v>
      </c>
      <c r="E13" s="1"/>
      <c r="F13" s="1"/>
      <c r="G13" s="1"/>
      <c r="H13" s="1"/>
      <c r="I13" s="1"/>
      <c r="J13" s="1"/>
    </row>
    <row r="14" spans="1:10" x14ac:dyDescent="0.3">
      <c r="A14" s="1" t="s">
        <v>32</v>
      </c>
      <c r="B14" s="2" t="s">
        <v>32</v>
      </c>
      <c r="C14" s="2" t="str">
        <f t="shared" si="0"/>
        <v>n</v>
      </c>
      <c r="D14" s="1" t="s">
        <v>33</v>
      </c>
      <c r="E14" s="1"/>
      <c r="F14" s="1"/>
      <c r="G14" s="1"/>
      <c r="H14" s="1"/>
      <c r="I14" s="1"/>
      <c r="J14" s="1"/>
    </row>
    <row r="15" spans="1:10" x14ac:dyDescent="0.3">
      <c r="A15" s="1" t="s">
        <v>34</v>
      </c>
      <c r="B15" s="2" t="s">
        <v>34</v>
      </c>
      <c r="C15" s="2" t="str">
        <f t="shared" si="0"/>
        <v>o</v>
      </c>
      <c r="D15" s="1" t="s">
        <v>35</v>
      </c>
      <c r="E15" s="1"/>
      <c r="F15" s="1"/>
      <c r="G15" s="1"/>
      <c r="H15" s="1"/>
      <c r="I15" s="1"/>
      <c r="J15" s="1"/>
    </row>
    <row r="16" spans="1:10" x14ac:dyDescent="0.3">
      <c r="A16" s="1" t="s">
        <v>36</v>
      </c>
      <c r="B16" s="2" t="s">
        <v>36</v>
      </c>
      <c r="C16" s="2" t="str">
        <f t="shared" si="0"/>
        <v>p</v>
      </c>
      <c r="D16" s="1" t="s">
        <v>37</v>
      </c>
      <c r="E16" s="1"/>
      <c r="F16" s="1"/>
      <c r="G16" s="1"/>
      <c r="H16" s="1"/>
      <c r="I16" s="1"/>
      <c r="J16" s="1"/>
    </row>
    <row r="17" spans="1:10" x14ac:dyDescent="0.3">
      <c r="A17" s="1" t="s">
        <v>38</v>
      </c>
      <c r="B17" s="2" t="s">
        <v>38</v>
      </c>
      <c r="C17" s="2" t="str">
        <f t="shared" si="0"/>
        <v>q</v>
      </c>
      <c r="D17" s="1" t="s">
        <v>39</v>
      </c>
      <c r="E17" s="1"/>
      <c r="F17" s="1"/>
      <c r="G17" s="1"/>
      <c r="H17" s="1"/>
      <c r="I17" s="1"/>
      <c r="J17" s="1"/>
    </row>
    <row r="18" spans="1:10" x14ac:dyDescent="0.3">
      <c r="A18" s="1" t="s">
        <v>40</v>
      </c>
      <c r="B18" s="2" t="s">
        <v>40</v>
      </c>
      <c r="C18" s="2" t="str">
        <f t="shared" si="0"/>
        <v>r</v>
      </c>
      <c r="D18" s="1" t="s">
        <v>41</v>
      </c>
      <c r="E18" s="1"/>
      <c r="F18" s="1"/>
      <c r="G18" s="1"/>
      <c r="H18" s="1"/>
      <c r="I18" s="1"/>
      <c r="J18" s="1"/>
    </row>
    <row r="19" spans="1:10" x14ac:dyDescent="0.3">
      <c r="A19" s="1" t="s">
        <v>42</v>
      </c>
      <c r="B19" s="2" t="s">
        <v>42</v>
      </c>
      <c r="C19" s="2" t="str">
        <f t="shared" si="0"/>
        <v>s</v>
      </c>
      <c r="D19" s="1" t="s">
        <v>43</v>
      </c>
      <c r="E19" s="1"/>
      <c r="F19" s="1"/>
      <c r="G19" s="1"/>
      <c r="H19" s="1"/>
      <c r="I19" s="1"/>
      <c r="J19" s="1"/>
    </row>
    <row r="20" spans="1:10" x14ac:dyDescent="0.3">
      <c r="A20" s="1" t="s">
        <v>44</v>
      </c>
      <c r="B20" s="2" t="s">
        <v>44</v>
      </c>
      <c r="C20" s="2" t="str">
        <f t="shared" si="0"/>
        <v>t</v>
      </c>
      <c r="D20" s="1" t="s">
        <v>45</v>
      </c>
      <c r="E20" s="1"/>
      <c r="F20" s="1"/>
      <c r="G20" s="1"/>
      <c r="H20" s="1"/>
      <c r="I20" s="1"/>
      <c r="J20" s="1"/>
    </row>
    <row r="21" spans="1:10" x14ac:dyDescent="0.3">
      <c r="A21" s="1" t="s">
        <v>46</v>
      </c>
      <c r="B21" s="2" t="s">
        <v>46</v>
      </c>
      <c r="C21" s="2" t="str">
        <f t="shared" si="0"/>
        <v>u</v>
      </c>
      <c r="D21" s="1" t="s">
        <v>47</v>
      </c>
      <c r="E21" s="1"/>
      <c r="F21" s="1"/>
      <c r="G21" s="1"/>
      <c r="H21" s="1"/>
      <c r="I21" s="1"/>
      <c r="J21" s="1"/>
    </row>
    <row r="22" spans="1:10" x14ac:dyDescent="0.3">
      <c r="A22" s="1" t="s">
        <v>48</v>
      </c>
      <c r="B22" s="2" t="s">
        <v>48</v>
      </c>
      <c r="C22" s="2" t="str">
        <f t="shared" si="0"/>
        <v>v</v>
      </c>
      <c r="D22" s="1" t="s">
        <v>49</v>
      </c>
      <c r="E22" s="1"/>
      <c r="F22" s="1"/>
      <c r="G22" s="1"/>
      <c r="H22" s="1"/>
      <c r="I22" s="1"/>
      <c r="J22" s="1"/>
    </row>
    <row r="23" spans="1:10" x14ac:dyDescent="0.3">
      <c r="A23" s="1" t="s">
        <v>50</v>
      </c>
      <c r="B23" s="2" t="s">
        <v>50</v>
      </c>
      <c r="C23" s="2" t="str">
        <f t="shared" si="0"/>
        <v>w</v>
      </c>
      <c r="D23" s="1" t="s">
        <v>51</v>
      </c>
      <c r="E23" s="1"/>
      <c r="F23" s="1"/>
      <c r="G23" s="1"/>
      <c r="H23" s="1"/>
      <c r="I23" s="1"/>
      <c r="J23" s="1"/>
    </row>
    <row r="24" spans="1:10" x14ac:dyDescent="0.3">
      <c r="A24" s="1" t="s">
        <v>52</v>
      </c>
      <c r="B24" s="2" t="s">
        <v>52</v>
      </c>
      <c r="C24" s="2" t="s">
        <v>53</v>
      </c>
      <c r="D24" s="1" t="s">
        <v>53</v>
      </c>
      <c r="E24" s="1"/>
      <c r="F24" s="1"/>
      <c r="G24" s="1"/>
      <c r="H24" s="1"/>
      <c r="I24" s="1"/>
      <c r="J24" s="1"/>
    </row>
    <row r="25" spans="1:10" x14ac:dyDescent="0.3">
      <c r="A25" s="1" t="s">
        <v>54</v>
      </c>
      <c r="B25" s="2" t="s">
        <v>54</v>
      </c>
      <c r="C25" s="2" t="s">
        <v>55</v>
      </c>
      <c r="D25" s="1" t="s">
        <v>55</v>
      </c>
      <c r="E25" s="1"/>
      <c r="F25" s="1"/>
      <c r="G25" s="1"/>
      <c r="H25" s="1"/>
      <c r="I25" s="1"/>
      <c r="J25" s="1"/>
    </row>
    <row r="26" spans="1:10" x14ac:dyDescent="0.3">
      <c r="A26" s="1" t="s">
        <v>56</v>
      </c>
      <c r="B26" s="2" t="s">
        <v>56</v>
      </c>
      <c r="C26" s="2" t="s">
        <v>57</v>
      </c>
      <c r="D26" s="1" t="s">
        <v>57</v>
      </c>
      <c r="E26" s="1"/>
      <c r="F26" s="1"/>
      <c r="G26" s="1"/>
      <c r="H26" s="1"/>
      <c r="I26" s="1"/>
      <c r="J26" s="1"/>
    </row>
    <row r="27" spans="1:1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6DC7-F5E4-44D4-BD37-03AD704DA6B8}">
  <sheetPr codeName="Sheet6"/>
  <dimension ref="A1:R445"/>
  <sheetViews>
    <sheetView topLeftCell="A16" zoomScale="115" zoomScaleNormal="115" workbookViewId="0">
      <selection activeCell="E31" sqref="E31"/>
    </sheetView>
  </sheetViews>
  <sheetFormatPr defaultColWidth="0" defaultRowHeight="12" customHeight="1" x14ac:dyDescent="0.3"/>
  <cols>
    <col min="1" max="12" width="6.625" style="5" customWidth="1"/>
    <col min="13" max="18" width="0" style="5" hidden="1" customWidth="1"/>
    <col min="19" max="16384" width="6.625" style="5" hidden="1"/>
  </cols>
  <sheetData>
    <row r="1" spans="1:12" ht="12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2" customHeight="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12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12" customHeight="1" x14ac:dyDescent="0.3">
      <c r="A4" s="4"/>
      <c r="B4" s="4"/>
      <c r="C4" s="4"/>
      <c r="D4" s="4"/>
      <c r="E4" s="88" t="s">
        <v>83</v>
      </c>
      <c r="F4" s="88"/>
      <c r="G4" s="88"/>
      <c r="H4" s="88"/>
      <c r="I4" s="88"/>
      <c r="J4" s="88"/>
      <c r="K4" s="88"/>
      <c r="L4" s="88"/>
    </row>
    <row r="5" spans="1:12" ht="12" customHeight="1" x14ac:dyDescent="0.3">
      <c r="A5" s="4"/>
      <c r="B5" s="4"/>
      <c r="C5" s="4"/>
      <c r="D5" s="4"/>
      <c r="E5" s="88"/>
      <c r="F5" s="88"/>
      <c r="G5" s="88"/>
      <c r="H5" s="88"/>
      <c r="I5" s="88"/>
      <c r="J5" s="88"/>
      <c r="K5" s="88"/>
      <c r="L5" s="88"/>
    </row>
    <row r="6" spans="1:12" ht="12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s="6" customFormat="1" ht="12" customHeight="1" x14ac:dyDescent="0.3">
      <c r="A7" s="8" t="s">
        <v>62</v>
      </c>
      <c r="B7" s="8"/>
      <c r="C7" s="8"/>
      <c r="D7" s="9" t="s">
        <v>63</v>
      </c>
      <c r="E7" s="23">
        <v>4.29</v>
      </c>
      <c r="F7" s="10" t="s">
        <v>31</v>
      </c>
      <c r="G7" s="8"/>
      <c r="H7" s="8"/>
      <c r="I7" s="8"/>
      <c r="J7" s="8"/>
      <c r="K7" s="8"/>
      <c r="L7" s="8"/>
    </row>
    <row r="8" spans="1:12" s="6" customFormat="1" ht="12" customHeight="1" x14ac:dyDescent="0.3">
      <c r="A8" s="8" t="s">
        <v>67</v>
      </c>
      <c r="B8" s="8"/>
      <c r="C8" s="8"/>
      <c r="D8" s="9" t="s">
        <v>68</v>
      </c>
      <c r="E8" s="23">
        <v>15.24</v>
      </c>
      <c r="F8" s="10" t="s">
        <v>31</v>
      </c>
      <c r="G8" s="8"/>
      <c r="H8" s="8"/>
      <c r="I8" s="8"/>
      <c r="J8" s="8"/>
      <c r="K8" s="8"/>
      <c r="L8" s="8"/>
    </row>
    <row r="9" spans="1:12" s="6" customFormat="1" ht="12" customHeight="1" x14ac:dyDescent="0.3">
      <c r="A9" s="8" t="s">
        <v>69</v>
      </c>
      <c r="B9" s="8"/>
      <c r="C9" s="8"/>
      <c r="D9" s="9" t="s">
        <v>70</v>
      </c>
      <c r="E9" s="24">
        <v>10.46</v>
      </c>
      <c r="F9" s="10" t="s">
        <v>71</v>
      </c>
      <c r="G9" s="8"/>
      <c r="H9" s="8"/>
      <c r="I9" s="8"/>
      <c r="J9" s="8"/>
      <c r="K9" s="8"/>
      <c r="L9" s="8"/>
    </row>
    <row r="10" spans="1:12" s="6" customFormat="1" ht="12" customHeight="1" x14ac:dyDescent="0.3">
      <c r="A10" s="8"/>
      <c r="B10" s="8"/>
      <c r="C10" s="8"/>
      <c r="D10" s="9" t="s">
        <v>72</v>
      </c>
      <c r="E10" s="24">
        <f>E7+E8/2</f>
        <v>11.91</v>
      </c>
      <c r="F10" s="10" t="s">
        <v>31</v>
      </c>
      <c r="G10" s="8" t="s">
        <v>73</v>
      </c>
      <c r="H10" s="8"/>
      <c r="I10" s="8"/>
      <c r="J10" s="8"/>
      <c r="K10" s="8"/>
      <c r="L10" s="8"/>
    </row>
    <row r="11" spans="1:12" s="6" customFormat="1" ht="12" customHeight="1" x14ac:dyDescent="0.3">
      <c r="A11" s="8" t="s">
        <v>74</v>
      </c>
      <c r="B11" s="11"/>
      <c r="C11" s="11"/>
      <c r="D11" s="12" t="s">
        <v>75</v>
      </c>
      <c r="E11" s="25">
        <f>2*PI()/E9</f>
        <v>0.60068693185273281</v>
      </c>
      <c r="F11" s="8"/>
      <c r="G11" s="8"/>
      <c r="H11" s="8"/>
      <c r="I11" s="8"/>
      <c r="J11" s="8"/>
      <c r="K11" s="8"/>
      <c r="L11" s="8"/>
    </row>
    <row r="12" spans="1:12" s="6" customFormat="1" ht="12" customHeight="1" x14ac:dyDescent="0.3">
      <c r="A12" s="8" t="s">
        <v>76</v>
      </c>
      <c r="B12" s="8"/>
      <c r="C12" s="8"/>
      <c r="D12" s="12" t="s">
        <v>77</v>
      </c>
      <c r="E12" s="26">
        <v>54</v>
      </c>
      <c r="F12" s="10" t="s">
        <v>31</v>
      </c>
      <c r="G12" s="8"/>
      <c r="H12" s="8"/>
      <c r="I12" s="8"/>
      <c r="J12" s="8"/>
      <c r="K12" s="8"/>
      <c r="L12" s="8"/>
    </row>
    <row r="13" spans="1:12" s="6" customFormat="1" ht="12" customHeight="1" x14ac:dyDescent="0.3">
      <c r="A13" s="8" t="s">
        <v>78</v>
      </c>
      <c r="B13" s="8"/>
      <c r="C13" s="8"/>
      <c r="D13" s="9" t="s">
        <v>79</v>
      </c>
      <c r="E13" s="27">
        <f>2*PI()/E12</f>
        <v>0.11635528346628864</v>
      </c>
      <c r="F13" s="10"/>
      <c r="G13" s="8"/>
      <c r="H13" s="8"/>
      <c r="I13" s="8"/>
      <c r="J13" s="8"/>
      <c r="K13" s="8"/>
      <c r="L13" s="8"/>
    </row>
    <row r="14" spans="1:12" s="6" customFormat="1" ht="12" customHeight="1" x14ac:dyDescent="0.3">
      <c r="A14" s="8" t="s">
        <v>80</v>
      </c>
      <c r="B14" s="8"/>
      <c r="C14" s="8"/>
      <c r="D14" s="13" t="s">
        <v>81</v>
      </c>
      <c r="E14" s="28">
        <v>0</v>
      </c>
      <c r="F14" s="10" t="s">
        <v>82</v>
      </c>
      <c r="G14" s="8"/>
      <c r="H14" s="8"/>
      <c r="I14" s="8"/>
      <c r="J14" s="8"/>
      <c r="K14" s="8"/>
      <c r="L14" s="8"/>
    </row>
    <row r="15" spans="1:12" s="6" customFormat="1" ht="12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ht="12" customHeight="1" x14ac:dyDescent="0.3">
      <c r="A16" s="14"/>
      <c r="B16" s="15" t="s">
        <v>87</v>
      </c>
      <c r="C16" s="15" t="s">
        <v>84</v>
      </c>
      <c r="D16" s="15" t="s">
        <v>85</v>
      </c>
      <c r="E16" s="15" t="s">
        <v>86</v>
      </c>
      <c r="F16" s="14"/>
      <c r="G16" s="14"/>
      <c r="H16" s="14"/>
      <c r="I16" s="14"/>
      <c r="J16" s="14"/>
      <c r="K16" s="14"/>
      <c r="L16" s="14"/>
    </row>
    <row r="17" spans="1:12" ht="15" customHeight="1" x14ac:dyDescent="0.3">
      <c r="A17" s="16"/>
      <c r="B17" s="17">
        <v>10.5</v>
      </c>
      <c r="C17" s="18">
        <f>1.025*9.81*($E$10-B17)</f>
        <v>14.1779025</v>
      </c>
      <c r="D17" s="19"/>
      <c r="E17" s="20">
        <f>C17+D17</f>
        <v>14.1779025</v>
      </c>
      <c r="F17" s="16"/>
      <c r="G17" s="16"/>
      <c r="H17" s="16"/>
      <c r="I17" s="16"/>
      <c r="J17" s="16"/>
      <c r="K17" s="16"/>
      <c r="L17" s="16"/>
    </row>
    <row r="18" spans="1:12" ht="15" customHeight="1" x14ac:dyDescent="0.3">
      <c r="A18" s="16"/>
      <c r="B18" s="17">
        <v>10</v>
      </c>
      <c r="C18" s="18">
        <f t="shared" ref="C18:C28" si="0">1.025*9.81*($E$10-B18)</f>
        <v>19.205527499999999</v>
      </c>
      <c r="D18" s="19"/>
      <c r="E18" s="20">
        <f t="shared" ref="E18:E39" si="1">C18+D18</f>
        <v>19.205527499999999</v>
      </c>
      <c r="F18" s="16"/>
      <c r="G18" s="16"/>
      <c r="H18" s="16"/>
      <c r="I18" s="16"/>
      <c r="J18" s="16"/>
      <c r="K18" s="16"/>
      <c r="L18" s="16"/>
    </row>
    <row r="19" spans="1:12" ht="15" customHeight="1" x14ac:dyDescent="0.3">
      <c r="A19" s="16"/>
      <c r="B19" s="17">
        <v>9.5</v>
      </c>
      <c r="C19" s="18">
        <f t="shared" si="0"/>
        <v>24.233152499999999</v>
      </c>
      <c r="D19" s="19"/>
      <c r="E19" s="20">
        <f t="shared" si="1"/>
        <v>24.233152499999999</v>
      </c>
      <c r="F19" s="16"/>
      <c r="G19" s="16"/>
      <c r="H19" s="16"/>
      <c r="I19" s="16"/>
      <c r="J19" s="16"/>
      <c r="K19" s="16"/>
      <c r="L19" s="16"/>
    </row>
    <row r="20" spans="1:12" ht="15" customHeight="1" x14ac:dyDescent="0.3">
      <c r="A20" s="16"/>
      <c r="B20" s="17">
        <v>9</v>
      </c>
      <c r="C20" s="18">
        <f t="shared" si="0"/>
        <v>29.2607775</v>
      </c>
      <c r="D20" s="19"/>
      <c r="E20" s="20">
        <f t="shared" si="1"/>
        <v>29.2607775</v>
      </c>
      <c r="F20" s="16"/>
      <c r="G20" s="16"/>
      <c r="H20" s="16"/>
      <c r="I20" s="16"/>
      <c r="J20" s="16"/>
      <c r="K20" s="16"/>
      <c r="L20" s="16"/>
    </row>
    <row r="21" spans="1:12" ht="15" customHeight="1" x14ac:dyDescent="0.3">
      <c r="A21" s="16"/>
      <c r="B21" s="17">
        <v>8.5</v>
      </c>
      <c r="C21" s="18">
        <f t="shared" si="0"/>
        <v>34.288402499999997</v>
      </c>
      <c r="D21" s="19"/>
      <c r="E21" s="20">
        <f t="shared" si="1"/>
        <v>34.288402499999997</v>
      </c>
      <c r="F21" s="16"/>
      <c r="G21" s="16"/>
      <c r="H21" s="16"/>
      <c r="I21" s="16"/>
      <c r="J21" s="16"/>
      <c r="K21" s="16"/>
      <c r="L21" s="16"/>
    </row>
    <row r="22" spans="1:12" ht="15" customHeight="1" x14ac:dyDescent="0.3">
      <c r="A22" s="16"/>
      <c r="B22" s="17">
        <v>8</v>
      </c>
      <c r="C22" s="18">
        <f t="shared" si="0"/>
        <v>39.316027499999997</v>
      </c>
      <c r="D22" s="19"/>
      <c r="E22" s="20">
        <f t="shared" si="1"/>
        <v>39.316027499999997</v>
      </c>
      <c r="F22" s="16"/>
      <c r="G22" s="16"/>
      <c r="H22" s="16"/>
      <c r="I22" s="16"/>
      <c r="J22" s="16"/>
      <c r="K22" s="16"/>
      <c r="L22" s="16"/>
    </row>
    <row r="23" spans="1:12" ht="15" customHeight="1" x14ac:dyDescent="0.3">
      <c r="A23" s="16"/>
      <c r="B23" s="17">
        <v>7.5</v>
      </c>
      <c r="C23" s="18">
        <f t="shared" si="0"/>
        <v>44.343652499999997</v>
      </c>
      <c r="D23" s="19"/>
      <c r="E23" s="20">
        <f t="shared" si="1"/>
        <v>44.343652499999997</v>
      </c>
      <c r="F23" s="16"/>
      <c r="G23" s="16"/>
      <c r="H23" s="16"/>
      <c r="I23" s="16"/>
      <c r="J23" s="16"/>
      <c r="K23" s="16"/>
      <c r="L23" s="16"/>
    </row>
    <row r="24" spans="1:12" ht="15" customHeight="1" x14ac:dyDescent="0.3">
      <c r="A24" s="16"/>
      <c r="B24" s="17">
        <v>7</v>
      </c>
      <c r="C24" s="18">
        <f t="shared" si="0"/>
        <v>49.371277499999998</v>
      </c>
      <c r="D24" s="19"/>
      <c r="E24" s="20">
        <f t="shared" si="1"/>
        <v>49.371277499999998</v>
      </c>
      <c r="F24" s="16"/>
      <c r="G24" s="16"/>
      <c r="H24" s="16"/>
      <c r="I24" s="16"/>
      <c r="J24" s="16"/>
      <c r="K24" s="16"/>
      <c r="L24" s="16"/>
    </row>
    <row r="25" spans="1:12" ht="15" customHeight="1" x14ac:dyDescent="0.3">
      <c r="A25" s="16"/>
      <c r="B25" s="17">
        <v>6.5</v>
      </c>
      <c r="C25" s="18">
        <f t="shared" si="0"/>
        <v>54.398902499999998</v>
      </c>
      <c r="D25" s="19"/>
      <c r="E25" s="20">
        <f t="shared" si="1"/>
        <v>54.398902499999998</v>
      </c>
      <c r="F25" s="16"/>
      <c r="G25" s="16"/>
      <c r="H25" s="16"/>
      <c r="I25" s="16"/>
      <c r="J25" s="16"/>
      <c r="K25" s="16"/>
      <c r="L25" s="16"/>
    </row>
    <row r="26" spans="1:12" ht="15" customHeight="1" x14ac:dyDescent="0.3">
      <c r="A26" s="16"/>
      <c r="B26" s="17">
        <v>6</v>
      </c>
      <c r="C26" s="18">
        <f t="shared" si="0"/>
        <v>59.426527499999999</v>
      </c>
      <c r="D26" s="19"/>
      <c r="E26" s="20">
        <f t="shared" si="1"/>
        <v>59.426527499999999</v>
      </c>
      <c r="F26" s="16"/>
      <c r="G26" s="16"/>
      <c r="H26" s="16"/>
      <c r="I26" s="16"/>
      <c r="J26" s="16"/>
      <c r="K26" s="16"/>
      <c r="L26" s="16"/>
    </row>
    <row r="27" spans="1:12" ht="15" customHeight="1" x14ac:dyDescent="0.3">
      <c r="A27" s="16"/>
      <c r="B27" s="17">
        <v>5.5</v>
      </c>
      <c r="C27" s="18">
        <f t="shared" si="0"/>
        <v>64.454152499999992</v>
      </c>
      <c r="D27" s="19"/>
      <c r="E27" s="20">
        <f t="shared" si="1"/>
        <v>64.454152499999992</v>
      </c>
      <c r="F27" s="16"/>
      <c r="G27" s="16"/>
      <c r="H27" s="16"/>
      <c r="I27" s="16"/>
      <c r="J27" s="16"/>
      <c r="K27" s="16"/>
      <c r="L27" s="16"/>
    </row>
    <row r="28" spans="1:12" ht="15" customHeight="1" x14ac:dyDescent="0.3">
      <c r="A28" s="16"/>
      <c r="B28" s="17">
        <v>5</v>
      </c>
      <c r="C28" s="18">
        <f t="shared" si="0"/>
        <v>69.481777499999993</v>
      </c>
      <c r="D28" s="19"/>
      <c r="E28" s="20">
        <f t="shared" si="1"/>
        <v>69.481777499999993</v>
      </c>
      <c r="F28" s="16"/>
      <c r="G28" s="16"/>
      <c r="H28" s="16"/>
      <c r="I28" s="16"/>
      <c r="J28" s="16"/>
      <c r="K28" s="16"/>
      <c r="L28" s="16"/>
    </row>
    <row r="29" spans="1:12" ht="15" customHeight="1" x14ac:dyDescent="0.3">
      <c r="A29" s="16"/>
      <c r="B29" s="17">
        <v>4.5</v>
      </c>
      <c r="C29" s="18">
        <f>1.025*9.81*($E$10-B29)</f>
        <v>74.509402499999993</v>
      </c>
      <c r="D29" s="19"/>
      <c r="E29" s="20">
        <f t="shared" si="1"/>
        <v>74.509402499999993</v>
      </c>
      <c r="F29" s="16"/>
      <c r="G29" s="16"/>
      <c r="H29" s="16"/>
      <c r="I29" s="16"/>
      <c r="J29" s="16"/>
      <c r="K29" s="16"/>
      <c r="L29" s="16"/>
    </row>
    <row r="30" spans="1:12" ht="15" customHeight="1" x14ac:dyDescent="0.3">
      <c r="A30" s="16"/>
      <c r="B30" s="17">
        <v>4.29</v>
      </c>
      <c r="C30" s="18">
        <f>1.025*9.81*($E$10-B30)</f>
        <v>76.621004999999997</v>
      </c>
      <c r="D30" s="21">
        <f t="shared" ref="D30:D35" si="2">1.025*9.81*($E$7-B30)</f>
        <v>0</v>
      </c>
      <c r="E30" s="20">
        <f t="shared" si="1"/>
        <v>76.621004999999997</v>
      </c>
      <c r="F30" s="16"/>
      <c r="G30" s="16"/>
      <c r="H30" s="16"/>
      <c r="I30" s="16"/>
      <c r="J30" s="16"/>
      <c r="K30" s="16"/>
      <c r="L30" s="16"/>
    </row>
    <row r="31" spans="1:12" ht="15" customHeight="1" x14ac:dyDescent="0.3">
      <c r="A31" s="16"/>
      <c r="B31" s="17">
        <v>4</v>
      </c>
      <c r="C31" s="22">
        <f t="shared" ref="C31:C39" si="3">0.5*1.025*9.81*$E$8*EXP(-$E$13*($E$7-B31))</f>
        <v>74.078713487742831</v>
      </c>
      <c r="D31" s="21">
        <f t="shared" si="2"/>
        <v>2.9160225</v>
      </c>
      <c r="E31" s="20">
        <f>C31+D31</f>
        <v>76.994735987742828</v>
      </c>
      <c r="F31" s="16"/>
      <c r="G31" s="16"/>
      <c r="H31" s="16"/>
      <c r="I31" s="16"/>
      <c r="J31" s="16"/>
      <c r="K31" s="16"/>
      <c r="L31" s="16"/>
    </row>
    <row r="32" spans="1:12" ht="15" customHeight="1" x14ac:dyDescent="0.3">
      <c r="A32" s="16"/>
      <c r="B32" s="17">
        <v>3.5</v>
      </c>
      <c r="C32" s="22">
        <f t="shared" si="3"/>
        <v>69.891957257633024</v>
      </c>
      <c r="D32" s="21">
        <f t="shared" si="2"/>
        <v>7.9436475</v>
      </c>
      <c r="E32" s="20">
        <f>C32+D32</f>
        <v>77.835604757633021</v>
      </c>
      <c r="F32" s="16"/>
      <c r="G32" s="16"/>
      <c r="H32" s="16"/>
      <c r="I32" s="16"/>
      <c r="J32" s="16"/>
      <c r="K32" s="16"/>
      <c r="L32" s="16"/>
    </row>
    <row r="33" spans="1:12" ht="15" customHeight="1" x14ac:dyDescent="0.3">
      <c r="A33" s="16"/>
      <c r="B33" s="17">
        <v>3</v>
      </c>
      <c r="C33" s="22">
        <f t="shared" si="3"/>
        <v>65.941826731522028</v>
      </c>
      <c r="D33" s="21">
        <f t="shared" si="2"/>
        <v>12.9712725</v>
      </c>
      <c r="E33" s="20">
        <f t="shared" si="1"/>
        <v>78.913099231522025</v>
      </c>
      <c r="F33" s="16"/>
      <c r="G33" s="16"/>
      <c r="H33" s="16"/>
      <c r="I33" s="16"/>
      <c r="J33" s="16"/>
      <c r="K33" s="16"/>
      <c r="L33" s="16"/>
    </row>
    <row r="34" spans="1:12" ht="15" customHeight="1" x14ac:dyDescent="0.3">
      <c r="A34" s="16"/>
      <c r="B34" s="17">
        <v>2.5</v>
      </c>
      <c r="C34" s="22">
        <f t="shared" si="3"/>
        <v>62.214948376126422</v>
      </c>
      <c r="D34" s="21">
        <f t="shared" si="2"/>
        <v>17.998897499999998</v>
      </c>
      <c r="E34" s="20">
        <f t="shared" si="1"/>
        <v>80.213845876126413</v>
      </c>
      <c r="F34" s="16"/>
      <c r="G34" s="16"/>
      <c r="H34" s="16"/>
      <c r="I34" s="16"/>
      <c r="J34" s="16"/>
      <c r="K34" s="16"/>
      <c r="L34" s="16"/>
    </row>
    <row r="35" spans="1:12" ht="15" customHeight="1" x14ac:dyDescent="0.3">
      <c r="A35" s="16"/>
      <c r="B35" s="17">
        <v>2</v>
      </c>
      <c r="C35" s="22">
        <f t="shared" si="3"/>
        <v>58.698704499094106</v>
      </c>
      <c r="D35" s="21">
        <f t="shared" si="2"/>
        <v>23.026522499999999</v>
      </c>
      <c r="E35" s="20">
        <f t="shared" si="1"/>
        <v>81.725226999094104</v>
      </c>
      <c r="F35" s="16"/>
      <c r="G35" s="16"/>
      <c r="H35" s="16"/>
      <c r="I35" s="16"/>
      <c r="J35" s="16"/>
      <c r="K35" s="16"/>
      <c r="L35" s="16"/>
    </row>
    <row r="36" spans="1:12" ht="15" customHeight="1" x14ac:dyDescent="0.3">
      <c r="A36" s="16"/>
      <c r="B36" s="17">
        <v>1.5</v>
      </c>
      <c r="C36" s="22">
        <f t="shared" si="3"/>
        <v>55.381190530636481</v>
      </c>
      <c r="D36" s="21">
        <f t="shared" ref="D36:D39" si="4">1.025*9.81*($E$7-B36)</f>
        <v>28.054147499999999</v>
      </c>
      <c r="E36" s="20">
        <f t="shared" si="1"/>
        <v>83.435338030636473</v>
      </c>
      <c r="F36" s="16"/>
      <c r="G36" s="16"/>
      <c r="H36" s="16"/>
      <c r="I36" s="16"/>
      <c r="J36" s="16"/>
      <c r="K36" s="16"/>
      <c r="L36" s="16"/>
    </row>
    <row r="37" spans="1:12" ht="15" customHeight="1" x14ac:dyDescent="0.3">
      <c r="A37" s="16"/>
      <c r="B37" s="17">
        <v>1</v>
      </c>
      <c r="C37" s="22">
        <f t="shared" si="3"/>
        <v>52.251174719503297</v>
      </c>
      <c r="D37" s="21">
        <f t="shared" si="4"/>
        <v>33.0817725</v>
      </c>
      <c r="E37" s="20">
        <f t="shared" si="1"/>
        <v>85.332947219503296</v>
      </c>
      <c r="F37" s="16"/>
      <c r="G37" s="16"/>
      <c r="H37" s="16"/>
      <c r="I37" s="16"/>
      <c r="J37" s="16"/>
      <c r="K37" s="16"/>
      <c r="L37" s="16"/>
    </row>
    <row r="38" spans="1:12" ht="15" customHeight="1" x14ac:dyDescent="0.3">
      <c r="A38" s="16"/>
      <c r="B38" s="17">
        <v>0.5</v>
      </c>
      <c r="C38" s="22">
        <f t="shared" si="3"/>
        <v>49.298060106846947</v>
      </c>
      <c r="D38" s="21">
        <f t="shared" si="4"/>
        <v>38.1093975</v>
      </c>
      <c r="E38" s="20">
        <f t="shared" si="1"/>
        <v>87.407457606846947</v>
      </c>
      <c r="F38" s="16"/>
      <c r="G38" s="16"/>
      <c r="H38" s="16"/>
      <c r="I38" s="16"/>
      <c r="J38" s="16"/>
      <c r="K38" s="16"/>
      <c r="L38" s="16"/>
    </row>
    <row r="39" spans="1:12" ht="15" customHeight="1" x14ac:dyDescent="0.3">
      <c r="A39" s="16"/>
      <c r="B39" s="17">
        <v>0</v>
      </c>
      <c r="C39" s="22">
        <f t="shared" si="3"/>
        <v>46.511848649235439</v>
      </c>
      <c r="D39" s="21">
        <f t="shared" si="4"/>
        <v>43.137022499999993</v>
      </c>
      <c r="E39" s="20">
        <f t="shared" si="1"/>
        <v>89.648871149235433</v>
      </c>
      <c r="F39" s="16"/>
      <c r="G39" s="16"/>
      <c r="H39" s="16"/>
      <c r="I39" s="16"/>
      <c r="J39" s="16"/>
      <c r="K39" s="16"/>
      <c r="L39" s="16"/>
    </row>
    <row r="40" spans="1:12" ht="15" customHeigh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ht="15" customHeight="1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ht="15" customHeight="1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ht="15" customHeight="1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ht="15" customHeight="1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ht="15" customHeight="1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2" ht="15" customHeight="1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2" ht="15" customHeight="1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ht="15" customHeight="1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ht="15" customHeigh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ht="15" customHeight="1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ht="15" customHeight="1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ht="15" customHeight="1" x14ac:dyDescent="0.3"/>
    <row r="53" spans="1:12" ht="15" customHeight="1" x14ac:dyDescent="0.3"/>
    <row r="54" spans="1:12" ht="15" customHeight="1" x14ac:dyDescent="0.3"/>
    <row r="55" spans="1:12" ht="15" customHeight="1" x14ac:dyDescent="0.3"/>
    <row r="56" spans="1:12" ht="15" customHeight="1" x14ac:dyDescent="0.3"/>
    <row r="57" spans="1:12" ht="15" customHeight="1" x14ac:dyDescent="0.3"/>
    <row r="58" spans="1:12" ht="15" customHeight="1" x14ac:dyDescent="0.3"/>
    <row r="59" spans="1:12" ht="15" customHeight="1" x14ac:dyDescent="0.3"/>
    <row r="60" spans="1:12" ht="15" customHeight="1" x14ac:dyDescent="0.3"/>
    <row r="61" spans="1:12" ht="15" customHeight="1" x14ac:dyDescent="0.3"/>
    <row r="62" spans="1:12" ht="15" customHeight="1" x14ac:dyDescent="0.3"/>
    <row r="63" spans="1:12" ht="15" customHeight="1" x14ac:dyDescent="0.3"/>
    <row r="64" spans="1:12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371" spans="1:12" ht="12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1:12" ht="12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1:12" ht="12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443" spans="1:12" ht="12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</row>
    <row r="444" spans="1:12" ht="12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</row>
    <row r="445" spans="1:12" ht="12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</row>
  </sheetData>
  <mergeCells count="1">
    <mergeCell ref="E4:L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N557"/>
  <sheetViews>
    <sheetView tabSelected="1" topLeftCell="A7" zoomScale="145" zoomScaleNormal="145" workbookViewId="0">
      <selection activeCell="K12" sqref="K12"/>
    </sheetView>
  </sheetViews>
  <sheetFormatPr defaultColWidth="5.625" defaultRowHeight="12" customHeight="1" x14ac:dyDescent="0.3"/>
  <cols>
    <col min="1" max="16384" width="5.625" style="30"/>
  </cols>
  <sheetData>
    <row r="1" spans="1:13" ht="12" customHeight="1" x14ac:dyDescent="0.3">
      <c r="A1" s="29"/>
      <c r="B1" s="29"/>
      <c r="C1" s="29"/>
      <c r="D1" s="29"/>
      <c r="E1" s="29"/>
    </row>
    <row r="2" spans="1:13" ht="12" customHeight="1" x14ac:dyDescent="0.3">
      <c r="A2" s="29"/>
      <c r="B2" s="29"/>
      <c r="C2" s="29"/>
      <c r="D2" s="29"/>
      <c r="E2" s="29"/>
    </row>
    <row r="3" spans="1:13" ht="12" customHeight="1" x14ac:dyDescent="0.3">
      <c r="A3" s="29"/>
      <c r="B3" s="29"/>
      <c r="C3" s="29"/>
      <c r="D3" s="29"/>
      <c r="E3" s="29"/>
    </row>
    <row r="4" spans="1:13" ht="12" customHeight="1" x14ac:dyDescent="0.3">
      <c r="A4" s="29"/>
      <c r="B4" s="29"/>
      <c r="C4" s="29"/>
      <c r="D4" s="29"/>
      <c r="E4" s="29"/>
      <c r="F4" s="89" t="s">
        <v>58</v>
      </c>
      <c r="G4" s="89"/>
      <c r="H4" s="89"/>
      <c r="I4" s="89"/>
      <c r="J4" s="89"/>
      <c r="K4" s="89"/>
      <c r="L4" s="89"/>
      <c r="M4" s="89"/>
    </row>
    <row r="5" spans="1:13" ht="12" customHeight="1" x14ac:dyDescent="0.3">
      <c r="A5" s="29"/>
      <c r="B5" s="29"/>
      <c r="C5" s="29"/>
      <c r="D5" s="29"/>
      <c r="E5" s="29"/>
      <c r="F5" s="89"/>
      <c r="G5" s="89"/>
      <c r="H5" s="89"/>
      <c r="I5" s="89"/>
      <c r="J5" s="89"/>
      <c r="K5" s="89"/>
      <c r="L5" s="89"/>
      <c r="M5" s="89"/>
    </row>
    <row r="7" spans="1:13" ht="12" customHeight="1" x14ac:dyDescent="0.3">
      <c r="A7" s="30" t="s">
        <v>59</v>
      </c>
      <c r="C7" s="34"/>
      <c r="D7" s="34"/>
      <c r="E7" s="35" t="s">
        <v>60</v>
      </c>
      <c r="F7" s="36">
        <v>7</v>
      </c>
      <c r="G7" s="37" t="s">
        <v>31</v>
      </c>
      <c r="H7" s="30" t="s">
        <v>61</v>
      </c>
    </row>
    <row r="8" spans="1:13" ht="12" customHeight="1" x14ac:dyDescent="0.3">
      <c r="A8" s="30" t="s">
        <v>89</v>
      </c>
      <c r="C8" s="34"/>
      <c r="D8" s="34"/>
      <c r="E8" s="39" t="s">
        <v>139</v>
      </c>
      <c r="F8" s="40">
        <v>1.1000000000000001</v>
      </c>
      <c r="G8" s="37"/>
    </row>
    <row r="9" spans="1:13" ht="12" customHeight="1" x14ac:dyDescent="0.3">
      <c r="A9" s="30" t="s">
        <v>91</v>
      </c>
      <c r="E9" s="35" t="s">
        <v>92</v>
      </c>
      <c r="F9" s="42">
        <v>1</v>
      </c>
      <c r="G9" s="37"/>
    </row>
    <row r="10" spans="1:13" ht="12" customHeight="1" x14ac:dyDescent="0.3">
      <c r="E10" s="35"/>
      <c r="F10" s="35"/>
      <c r="G10" s="37"/>
    </row>
    <row r="11" spans="1:13" ht="12" customHeight="1" x14ac:dyDescent="0.3">
      <c r="A11" s="43" t="s">
        <v>93</v>
      </c>
      <c r="C11" s="34"/>
      <c r="D11" s="34"/>
      <c r="E11" s="35"/>
      <c r="F11" s="35"/>
      <c r="G11" s="37"/>
    </row>
    <row r="12" spans="1:13" ht="12" customHeight="1" x14ac:dyDescent="0.3">
      <c r="A12" s="30" t="s">
        <v>62</v>
      </c>
      <c r="E12" s="38" t="s">
        <v>140</v>
      </c>
      <c r="F12" s="36">
        <v>4.29</v>
      </c>
      <c r="G12" s="31" t="s">
        <v>31</v>
      </c>
    </row>
    <row r="13" spans="1:13" ht="12" customHeight="1" x14ac:dyDescent="0.3">
      <c r="A13" s="30" t="s">
        <v>64</v>
      </c>
      <c r="E13" s="38" t="s">
        <v>65</v>
      </c>
      <c r="F13" s="44">
        <f>ABS(F12-F7)</f>
        <v>2.71</v>
      </c>
      <c r="G13" s="37" t="s">
        <v>31</v>
      </c>
      <c r="H13" s="30" t="s">
        <v>66</v>
      </c>
    </row>
    <row r="14" spans="1:13" ht="12" customHeight="1" x14ac:dyDescent="0.3">
      <c r="A14" s="30" t="s">
        <v>67</v>
      </c>
      <c r="E14" s="38" t="s">
        <v>68</v>
      </c>
      <c r="F14" s="36">
        <v>15.04</v>
      </c>
      <c r="G14" s="31" t="s">
        <v>31</v>
      </c>
    </row>
    <row r="15" spans="1:13" ht="12" customHeight="1" x14ac:dyDescent="0.3">
      <c r="A15" s="30" t="s">
        <v>69</v>
      </c>
      <c r="E15" s="38" t="s">
        <v>70</v>
      </c>
      <c r="F15" s="40">
        <v>11.4</v>
      </c>
      <c r="G15" s="31" t="s">
        <v>71</v>
      </c>
    </row>
    <row r="16" spans="1:13" ht="12" customHeight="1" x14ac:dyDescent="0.3">
      <c r="E16" s="38" t="s">
        <v>141</v>
      </c>
      <c r="F16" s="40">
        <f>F12+F14/2</f>
        <v>11.809999999999999</v>
      </c>
      <c r="G16" s="31" t="s">
        <v>31</v>
      </c>
      <c r="H16" s="30" t="s">
        <v>73</v>
      </c>
    </row>
    <row r="17" spans="1:14" ht="12" customHeight="1" x14ac:dyDescent="0.3">
      <c r="A17" s="30" t="s">
        <v>74</v>
      </c>
      <c r="B17" s="34"/>
      <c r="C17" s="34"/>
      <c r="D17" s="34"/>
      <c r="E17" s="45" t="s">
        <v>142</v>
      </c>
      <c r="F17" s="46">
        <f>2*PI()/F15</f>
        <v>0.55115660589294613</v>
      </c>
    </row>
    <row r="18" spans="1:14" ht="12" customHeight="1" x14ac:dyDescent="0.3">
      <c r="A18" s="30" t="s">
        <v>76</v>
      </c>
      <c r="E18" s="45" t="s">
        <v>143</v>
      </c>
      <c r="F18" s="42">
        <v>54</v>
      </c>
      <c r="G18" s="31" t="s">
        <v>31</v>
      </c>
    </row>
    <row r="19" spans="1:14" ht="12" customHeight="1" x14ac:dyDescent="0.3">
      <c r="A19" s="30" t="s">
        <v>78</v>
      </c>
      <c r="E19" s="38" t="s">
        <v>79</v>
      </c>
      <c r="F19" s="41">
        <f>2*PI()/F18</f>
        <v>0.11635528346628864</v>
      </c>
      <c r="G19" s="31"/>
    </row>
    <row r="20" spans="1:14" ht="12" customHeight="1" x14ac:dyDescent="0.3">
      <c r="A20" s="30" t="s">
        <v>80</v>
      </c>
      <c r="E20" s="47" t="s">
        <v>81</v>
      </c>
      <c r="F20" s="48">
        <v>0</v>
      </c>
      <c r="G20" s="31" t="s">
        <v>82</v>
      </c>
    </row>
    <row r="21" spans="1:14" ht="12" customHeight="1" x14ac:dyDescent="0.3">
      <c r="A21" s="30" t="s">
        <v>94</v>
      </c>
      <c r="E21" s="47" t="s">
        <v>144</v>
      </c>
      <c r="F21" s="48">
        <v>1</v>
      </c>
      <c r="G21" s="31"/>
    </row>
    <row r="22" spans="1:14" ht="12" customHeight="1" x14ac:dyDescent="0.3">
      <c r="A22" s="30" t="s">
        <v>95</v>
      </c>
      <c r="E22" s="47" t="s">
        <v>145</v>
      </c>
      <c r="F22" s="48">
        <v>1.35</v>
      </c>
    </row>
    <row r="23" spans="1:14" ht="12" customHeight="1" x14ac:dyDescent="0.3">
      <c r="A23" s="43" t="s">
        <v>96</v>
      </c>
      <c r="F23" s="47"/>
    </row>
    <row r="24" spans="1:14" ht="12" customHeight="1" x14ac:dyDescent="0.3">
      <c r="A24" s="30" t="s">
        <v>97</v>
      </c>
      <c r="E24" s="35" t="s">
        <v>98</v>
      </c>
      <c r="F24" s="48">
        <v>10.5</v>
      </c>
      <c r="G24" s="31" t="s">
        <v>31</v>
      </c>
    </row>
    <row r="25" spans="1:14" ht="12" customHeight="1" x14ac:dyDescent="0.3">
      <c r="E25" s="38" t="s">
        <v>99</v>
      </c>
      <c r="F25" s="48">
        <f>F24-F7</f>
        <v>3.5</v>
      </c>
      <c r="G25" s="31" t="s">
        <v>31</v>
      </c>
    </row>
    <row r="26" spans="1:14" ht="12" customHeight="1" x14ac:dyDescent="0.3">
      <c r="E26" s="47" t="s">
        <v>144</v>
      </c>
      <c r="F26" s="48">
        <v>1</v>
      </c>
      <c r="G26" s="31"/>
    </row>
    <row r="28" spans="1:14" ht="12" customHeight="1" x14ac:dyDescent="0.3">
      <c r="C28" s="30" t="s">
        <v>130</v>
      </c>
    </row>
    <row r="29" spans="1:14" ht="12" customHeight="1" x14ac:dyDescent="0.3">
      <c r="A29" s="94"/>
      <c r="B29" s="84" t="s">
        <v>131</v>
      </c>
      <c r="C29" s="85" t="s">
        <v>132</v>
      </c>
      <c r="D29" s="84" t="s">
        <v>133</v>
      </c>
      <c r="E29" s="84" t="s">
        <v>134</v>
      </c>
      <c r="F29" s="92" t="s">
        <v>136</v>
      </c>
      <c r="G29" s="85" t="s">
        <v>135</v>
      </c>
      <c r="H29" s="86" t="s">
        <v>146</v>
      </c>
      <c r="I29" s="86" t="s">
        <v>147</v>
      </c>
      <c r="J29" s="85" t="s">
        <v>162</v>
      </c>
      <c r="K29" s="84" t="s">
        <v>163</v>
      </c>
      <c r="L29" s="85" t="s">
        <v>86</v>
      </c>
      <c r="M29" s="85" t="s">
        <v>165</v>
      </c>
      <c r="N29" s="85" t="s">
        <v>166</v>
      </c>
    </row>
    <row r="30" spans="1:14" ht="12" customHeight="1" x14ac:dyDescent="0.3">
      <c r="A30" s="95"/>
      <c r="B30" s="84" t="s">
        <v>154</v>
      </c>
      <c r="C30" s="83" t="s">
        <v>138</v>
      </c>
      <c r="D30" s="84" t="s">
        <v>31</v>
      </c>
      <c r="E30" s="84" t="s">
        <v>31</v>
      </c>
      <c r="F30" s="93"/>
      <c r="G30" s="84" t="s">
        <v>90</v>
      </c>
      <c r="H30" s="83" t="s">
        <v>138</v>
      </c>
      <c r="I30" s="83" t="s">
        <v>138</v>
      </c>
      <c r="J30" s="85" t="s">
        <v>164</v>
      </c>
      <c r="K30" s="85" t="s">
        <v>164</v>
      </c>
      <c r="L30" s="85" t="s">
        <v>164</v>
      </c>
      <c r="M30" s="85" t="s">
        <v>167</v>
      </c>
      <c r="N30" s="85" t="s">
        <v>167</v>
      </c>
    </row>
    <row r="31" spans="1:14" ht="12" customHeight="1" x14ac:dyDescent="0.3">
      <c r="A31" s="83" t="s">
        <v>137</v>
      </c>
      <c r="B31" s="85">
        <v>0</v>
      </c>
      <c r="C31" s="87">
        <v>355</v>
      </c>
      <c r="D31" s="90">
        <v>0.7</v>
      </c>
      <c r="E31" s="90">
        <v>4</v>
      </c>
      <c r="F31" s="91">
        <v>1</v>
      </c>
      <c r="G31" s="91">
        <v>1</v>
      </c>
      <c r="H31" s="85">
        <v>191</v>
      </c>
      <c r="I31" s="87">
        <f>MIN(C31/F8,1.3*(C31/F8-H31))</f>
        <v>171.24545454545449</v>
      </c>
      <c r="J31" s="87"/>
      <c r="K31" s="87">
        <f>1.025*9.81*(F24+0.76)</f>
        <v>113.22211499999999</v>
      </c>
      <c r="L31" s="87">
        <f>MAX(J31,K31)</f>
        <v>113.22211499999999</v>
      </c>
      <c r="N31" s="96">
        <f>15.8*F31*D31*SQRT(L31)/SQRT(I31*F9)+G31</f>
        <v>9.9931374735030296</v>
      </c>
    </row>
    <row r="32" spans="1:14" ht="12" customHeight="1" x14ac:dyDescent="0.3">
      <c r="A32" s="83" t="s">
        <v>155</v>
      </c>
      <c r="B32" s="83"/>
      <c r="C32" s="83"/>
      <c r="D32" s="83"/>
      <c r="E32" s="83"/>
      <c r="F32" s="83"/>
      <c r="G32" s="83"/>
      <c r="H32" s="83"/>
      <c r="I32" s="83"/>
      <c r="J32" s="87"/>
      <c r="K32" s="87"/>
      <c r="L32" s="87"/>
      <c r="M32" s="85"/>
      <c r="N32" s="85"/>
    </row>
    <row r="33" spans="1:14" ht="12" customHeight="1" x14ac:dyDescent="0.3">
      <c r="A33" s="83" t="s">
        <v>156</v>
      </c>
      <c r="B33" s="83"/>
      <c r="C33" s="83"/>
      <c r="D33" s="83"/>
      <c r="E33" s="83"/>
      <c r="F33" s="83"/>
      <c r="G33" s="83"/>
      <c r="H33" s="83"/>
      <c r="I33" s="83"/>
      <c r="J33" s="87"/>
      <c r="K33" s="87"/>
      <c r="L33" s="87"/>
      <c r="M33" s="85"/>
      <c r="N33" s="85"/>
    </row>
    <row r="34" spans="1:14" ht="12" customHeight="1" x14ac:dyDescent="0.3">
      <c r="A34" s="83" t="s">
        <v>157</v>
      </c>
      <c r="B34" s="83"/>
      <c r="C34" s="83"/>
      <c r="D34" s="83"/>
      <c r="E34" s="83"/>
      <c r="F34" s="83"/>
      <c r="G34" s="83"/>
      <c r="H34" s="83"/>
      <c r="I34" s="83"/>
      <c r="J34" s="87"/>
      <c r="K34" s="87"/>
      <c r="L34" s="87"/>
      <c r="M34" s="85"/>
      <c r="N34" s="85"/>
    </row>
    <row r="35" spans="1:14" ht="12" customHeight="1" x14ac:dyDescent="0.3">
      <c r="A35" s="83" t="s">
        <v>158</v>
      </c>
      <c r="B35" s="83"/>
      <c r="C35" s="83"/>
      <c r="D35" s="83"/>
      <c r="E35" s="83"/>
      <c r="F35" s="83"/>
      <c r="G35" s="83"/>
      <c r="H35" s="83"/>
      <c r="I35" s="83"/>
      <c r="J35" s="87"/>
      <c r="K35" s="87"/>
      <c r="L35" s="87"/>
      <c r="M35" s="85"/>
      <c r="N35" s="85"/>
    </row>
    <row r="36" spans="1:14" ht="12" customHeight="1" x14ac:dyDescent="0.3">
      <c r="A36" s="83" t="s">
        <v>159</v>
      </c>
      <c r="B36" s="83"/>
      <c r="C36" s="83"/>
      <c r="D36" s="83"/>
      <c r="E36" s="83"/>
      <c r="F36" s="83"/>
      <c r="G36" s="83"/>
      <c r="H36" s="83"/>
      <c r="I36" s="83"/>
      <c r="J36" s="87"/>
      <c r="K36" s="87"/>
      <c r="L36" s="87"/>
      <c r="M36" s="85"/>
      <c r="N36" s="85"/>
    </row>
    <row r="37" spans="1:14" ht="12" customHeight="1" x14ac:dyDescent="0.3">
      <c r="A37" s="83" t="s">
        <v>160</v>
      </c>
      <c r="B37" s="83"/>
      <c r="C37" s="83"/>
      <c r="D37" s="83"/>
      <c r="E37" s="83"/>
      <c r="F37" s="83"/>
      <c r="G37" s="83"/>
      <c r="H37" s="83"/>
      <c r="I37" s="83"/>
      <c r="J37" s="87"/>
      <c r="K37" s="87"/>
      <c r="L37" s="87"/>
      <c r="M37" s="85"/>
      <c r="N37" s="85"/>
    </row>
    <row r="38" spans="1:14" ht="12" customHeight="1" x14ac:dyDescent="0.3">
      <c r="A38" s="83" t="s">
        <v>161</v>
      </c>
      <c r="B38" s="83"/>
      <c r="C38" s="83"/>
      <c r="D38" s="83"/>
      <c r="E38" s="83"/>
      <c r="F38" s="83"/>
      <c r="G38" s="83"/>
      <c r="H38" s="83"/>
      <c r="I38" s="83"/>
      <c r="J38" s="87"/>
      <c r="K38" s="87"/>
      <c r="L38" s="87"/>
      <c r="M38" s="85"/>
      <c r="N38" s="85"/>
    </row>
    <row r="39" spans="1:14" ht="12" customHeight="1" x14ac:dyDescent="0.3">
      <c r="A39" s="83"/>
      <c r="B39" s="83"/>
      <c r="C39" s="83"/>
      <c r="D39" s="83"/>
      <c r="E39" s="83"/>
      <c r="F39" s="83"/>
      <c r="G39" s="83"/>
      <c r="H39" s="83"/>
      <c r="I39" s="83"/>
      <c r="J39" s="87"/>
      <c r="K39" s="87"/>
      <c r="L39" s="87"/>
      <c r="M39" s="85"/>
      <c r="N39" s="85"/>
    </row>
    <row r="95" spans="1:13" s="33" customFormat="1" ht="15" customHeight="1" x14ac:dyDescent="0.3">
      <c r="A95" s="49">
        <v>1</v>
      </c>
      <c r="B95" s="32" t="s">
        <v>100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1"/>
    </row>
    <row r="96" spans="1:13" s="33" customFormat="1" ht="15" customHeight="1" x14ac:dyDescent="0.3">
      <c r="A96" s="52" t="s">
        <v>101</v>
      </c>
      <c r="B96" s="53" t="s">
        <v>148</v>
      </c>
      <c r="C96" s="54" t="s">
        <v>102</v>
      </c>
      <c r="D96" s="54"/>
      <c r="E96" s="55" t="s">
        <v>149</v>
      </c>
      <c r="F96" s="53" t="s">
        <v>150</v>
      </c>
      <c r="G96" s="56" t="s">
        <v>103</v>
      </c>
      <c r="H96" s="56" t="s">
        <v>104</v>
      </c>
      <c r="I96" s="56" t="s">
        <v>105</v>
      </c>
      <c r="J96" s="56" t="s">
        <v>106</v>
      </c>
      <c r="K96" s="56" t="s">
        <v>107</v>
      </c>
      <c r="L96" s="56"/>
      <c r="M96" s="57" t="s">
        <v>108</v>
      </c>
    </row>
    <row r="97" spans="1:13" s="33" customFormat="1" ht="15" customHeight="1" x14ac:dyDescent="0.3">
      <c r="A97" s="58">
        <v>355</v>
      </c>
      <c r="B97" s="59">
        <v>1.1000000000000001</v>
      </c>
      <c r="C97" s="60">
        <v>0</v>
      </c>
      <c r="D97" s="60"/>
      <c r="E97" s="61">
        <v>191</v>
      </c>
      <c r="F97" s="62">
        <v>171.24545454545449</v>
      </c>
      <c r="G97" s="59">
        <v>0.75</v>
      </c>
      <c r="H97" s="59">
        <v>7</v>
      </c>
      <c r="I97" s="59">
        <v>1</v>
      </c>
      <c r="J97" s="59">
        <v>1</v>
      </c>
      <c r="K97" s="59">
        <v>1</v>
      </c>
      <c r="L97" s="61"/>
      <c r="M97" s="63">
        <v>5.5720658924548943</v>
      </c>
    </row>
    <row r="98" spans="1:13" s="33" customFormat="1" ht="15" customHeight="1" x14ac:dyDescent="0.3">
      <c r="A98" s="64" t="s">
        <v>109</v>
      </c>
      <c r="B98" s="65"/>
      <c r="C98" s="54"/>
      <c r="D98" s="54"/>
      <c r="E98" s="56"/>
      <c r="F98" s="66"/>
      <c r="G98" s="67"/>
      <c r="H98" s="68" t="s">
        <v>110</v>
      </c>
      <c r="I98" s="65"/>
      <c r="J98" s="67"/>
      <c r="K98" s="69"/>
      <c r="L98" s="70"/>
      <c r="M98" s="71"/>
    </row>
    <row r="99" spans="1:13" s="33" customFormat="1" ht="15" customHeight="1" x14ac:dyDescent="0.3">
      <c r="A99" s="72" t="s">
        <v>151</v>
      </c>
      <c r="B99" s="54"/>
      <c r="C99" s="54"/>
      <c r="D99" s="54"/>
      <c r="E99" s="54" t="s">
        <v>152</v>
      </c>
      <c r="F99" s="54" t="s">
        <v>153</v>
      </c>
      <c r="G99" s="73" t="s">
        <v>111</v>
      </c>
      <c r="H99" s="74" t="s">
        <v>152</v>
      </c>
      <c r="I99" s="54" t="s">
        <v>153</v>
      </c>
      <c r="J99" s="75" t="s">
        <v>112</v>
      </c>
      <c r="K99" s="56" t="s">
        <v>113</v>
      </c>
      <c r="L99" s="56"/>
      <c r="M99" s="57" t="s">
        <v>114</v>
      </c>
    </row>
    <row r="100" spans="1:13" s="33" customFormat="1" ht="15" customHeight="1" x14ac:dyDescent="0.3">
      <c r="A100" s="76" t="s">
        <v>115</v>
      </c>
      <c r="B100" s="60"/>
      <c r="C100" s="60"/>
      <c r="D100" s="60"/>
      <c r="E100" s="77">
        <v>43.137022499999993</v>
      </c>
      <c r="F100" s="78">
        <v>61.966966861816026</v>
      </c>
      <c r="G100" s="79">
        <v>105.10398936181602</v>
      </c>
      <c r="H100" s="80">
        <v>130.58012500000001</v>
      </c>
      <c r="I100" s="61">
        <v>0</v>
      </c>
      <c r="J100" s="81">
        <v>130.58012500000001</v>
      </c>
      <c r="K100" s="62">
        <v>130.58012500000001</v>
      </c>
      <c r="L100" s="59"/>
      <c r="M100" s="63">
        <v>11.347784223428096</v>
      </c>
    </row>
    <row r="101" spans="1:13" s="33" customFormat="1" ht="15" customHeight="1" x14ac:dyDescent="0.3">
      <c r="A101" s="49">
        <v>2</v>
      </c>
      <c r="B101" s="32" t="s">
        <v>116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1"/>
    </row>
    <row r="102" spans="1:13" s="33" customFormat="1" ht="15" customHeight="1" x14ac:dyDescent="0.3">
      <c r="A102" s="52" t="s">
        <v>101</v>
      </c>
      <c r="B102" s="53" t="s">
        <v>148</v>
      </c>
      <c r="C102" s="54" t="s">
        <v>102</v>
      </c>
      <c r="D102" s="54"/>
      <c r="E102" s="55" t="s">
        <v>149</v>
      </c>
      <c r="F102" s="53" t="s">
        <v>150</v>
      </c>
      <c r="G102" s="56" t="s">
        <v>103</v>
      </c>
      <c r="H102" s="56" t="s">
        <v>104</v>
      </c>
      <c r="I102" s="56" t="s">
        <v>105</v>
      </c>
      <c r="J102" s="56" t="s">
        <v>106</v>
      </c>
      <c r="K102" s="56" t="s">
        <v>107</v>
      </c>
      <c r="L102" s="56"/>
      <c r="M102" s="57" t="s">
        <v>108</v>
      </c>
    </row>
    <row r="103" spans="1:13" s="33" customFormat="1" ht="15" customHeight="1" x14ac:dyDescent="0.3">
      <c r="A103" s="58">
        <v>355</v>
      </c>
      <c r="B103" s="59">
        <v>1.1000000000000001</v>
      </c>
      <c r="C103" s="60">
        <v>0</v>
      </c>
      <c r="D103" s="60"/>
      <c r="E103" s="61">
        <v>191</v>
      </c>
      <c r="F103" s="62">
        <v>171.24545454545449</v>
      </c>
      <c r="G103" s="59">
        <v>0.7</v>
      </c>
      <c r="H103" s="59">
        <v>4.2140000000000004</v>
      </c>
      <c r="I103" s="59">
        <v>1</v>
      </c>
      <c r="J103" s="59">
        <v>1</v>
      </c>
      <c r="K103" s="59">
        <v>1</v>
      </c>
      <c r="L103" s="61"/>
      <c r="M103" s="63">
        <v>5.5720658924548943</v>
      </c>
    </row>
    <row r="104" spans="1:13" s="33" customFormat="1" ht="15" customHeight="1" x14ac:dyDescent="0.3">
      <c r="A104" s="64" t="s">
        <v>109</v>
      </c>
      <c r="B104" s="65"/>
      <c r="C104" s="54"/>
      <c r="D104" s="54"/>
      <c r="E104" s="56"/>
      <c r="F104" s="66"/>
      <c r="G104" s="67"/>
      <c r="H104" s="68" t="s">
        <v>110</v>
      </c>
      <c r="I104" s="65"/>
      <c r="J104" s="67"/>
      <c r="K104" s="69"/>
      <c r="L104" s="70"/>
      <c r="M104" s="71"/>
    </row>
    <row r="105" spans="1:13" s="33" customFormat="1" ht="15" customHeight="1" x14ac:dyDescent="0.3">
      <c r="A105" s="72" t="s">
        <v>151</v>
      </c>
      <c r="B105" s="54"/>
      <c r="C105" s="54"/>
      <c r="D105" s="54"/>
      <c r="E105" s="54" t="s">
        <v>152</v>
      </c>
      <c r="F105" s="54" t="s">
        <v>153</v>
      </c>
      <c r="G105" s="73" t="s">
        <v>111</v>
      </c>
      <c r="H105" s="74" t="s">
        <v>152</v>
      </c>
      <c r="I105" s="54" t="s">
        <v>153</v>
      </c>
      <c r="J105" s="75" t="s">
        <v>112</v>
      </c>
      <c r="K105" s="56" t="s">
        <v>113</v>
      </c>
      <c r="L105" s="56"/>
      <c r="M105" s="57" t="s">
        <v>114</v>
      </c>
    </row>
    <row r="106" spans="1:13" s="33" customFormat="1" ht="15" customHeight="1" x14ac:dyDescent="0.3">
      <c r="A106" s="76" t="s">
        <v>117</v>
      </c>
      <c r="B106" s="60"/>
      <c r="C106" s="60"/>
      <c r="D106" s="60"/>
      <c r="E106" s="77">
        <v>43.137022499999993</v>
      </c>
      <c r="F106" s="78">
        <v>61.966966861816026</v>
      </c>
      <c r="G106" s="79">
        <v>105.10398936181602</v>
      </c>
      <c r="H106" s="80">
        <v>130.58012500000001</v>
      </c>
      <c r="I106" s="61">
        <v>0</v>
      </c>
      <c r="J106" s="81">
        <v>130.58012500000001</v>
      </c>
      <c r="K106" s="62">
        <v>130.58012500000001</v>
      </c>
      <c r="L106" s="59"/>
      <c r="M106" s="63">
        <v>10.657931941866222</v>
      </c>
    </row>
    <row r="107" spans="1:13" s="33" customFormat="1" ht="15" customHeight="1" x14ac:dyDescent="0.3">
      <c r="A107" s="49">
        <v>3</v>
      </c>
      <c r="B107" s="32" t="s">
        <v>118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1"/>
    </row>
    <row r="108" spans="1:13" s="33" customFormat="1" ht="15" customHeight="1" x14ac:dyDescent="0.3">
      <c r="A108" s="52" t="s">
        <v>101</v>
      </c>
      <c r="B108" s="53" t="s">
        <v>148</v>
      </c>
      <c r="C108" s="54" t="s">
        <v>102</v>
      </c>
      <c r="D108" s="54"/>
      <c r="E108" s="55" t="s">
        <v>149</v>
      </c>
      <c r="F108" s="53" t="s">
        <v>150</v>
      </c>
      <c r="G108" s="56" t="s">
        <v>103</v>
      </c>
      <c r="H108" s="56" t="s">
        <v>104</v>
      </c>
      <c r="I108" s="56" t="s">
        <v>105</v>
      </c>
      <c r="J108" s="56" t="s">
        <v>106</v>
      </c>
      <c r="K108" s="56" t="s">
        <v>107</v>
      </c>
      <c r="L108" s="56"/>
      <c r="M108" s="57" t="s">
        <v>108</v>
      </c>
    </row>
    <row r="109" spans="1:13" ht="15" customHeight="1" x14ac:dyDescent="0.3">
      <c r="A109" s="58">
        <v>355</v>
      </c>
      <c r="B109" s="59">
        <v>1.1000000000000001</v>
      </c>
      <c r="C109" s="60">
        <v>2.9</v>
      </c>
      <c r="D109" s="60"/>
      <c r="E109" s="61">
        <v>85.6</v>
      </c>
      <c r="F109" s="62">
        <v>308.26545454545453</v>
      </c>
      <c r="G109" s="59">
        <v>0.7</v>
      </c>
      <c r="H109" s="59">
        <v>4.2140000000000004</v>
      </c>
      <c r="I109" s="59">
        <v>1</v>
      </c>
      <c r="J109" s="59">
        <v>1</v>
      </c>
      <c r="K109" s="59">
        <v>1</v>
      </c>
      <c r="L109" s="61"/>
      <c r="M109" s="63">
        <v>5.5720658924548943</v>
      </c>
    </row>
    <row r="110" spans="1:13" ht="15" customHeight="1" x14ac:dyDescent="0.3">
      <c r="A110" s="64" t="s">
        <v>109</v>
      </c>
      <c r="B110" s="65"/>
      <c r="C110" s="54"/>
      <c r="D110" s="54"/>
      <c r="E110" s="56"/>
      <c r="F110" s="66"/>
      <c r="G110" s="67"/>
      <c r="H110" s="68" t="s">
        <v>110</v>
      </c>
      <c r="I110" s="65"/>
      <c r="J110" s="67"/>
      <c r="K110" s="69"/>
      <c r="L110" s="70"/>
      <c r="M110" s="71"/>
    </row>
    <row r="111" spans="1:13" ht="15" customHeight="1" x14ac:dyDescent="0.3">
      <c r="A111" s="72" t="s">
        <v>151</v>
      </c>
      <c r="B111" s="54"/>
      <c r="C111" s="54"/>
      <c r="D111" s="54"/>
      <c r="E111" s="54" t="s">
        <v>152</v>
      </c>
      <c r="F111" s="54" t="s">
        <v>153</v>
      </c>
      <c r="G111" s="73" t="s">
        <v>111</v>
      </c>
      <c r="H111" s="74" t="s">
        <v>152</v>
      </c>
      <c r="I111" s="54" t="s">
        <v>153</v>
      </c>
      <c r="J111" s="75" t="s">
        <v>112</v>
      </c>
      <c r="K111" s="56" t="s">
        <v>113</v>
      </c>
      <c r="L111" s="56"/>
      <c r="M111" s="57" t="s">
        <v>114</v>
      </c>
    </row>
    <row r="112" spans="1:13" ht="15" customHeight="1" x14ac:dyDescent="0.3">
      <c r="A112" s="76" t="s">
        <v>119</v>
      </c>
      <c r="B112" s="60"/>
      <c r="C112" s="60"/>
      <c r="D112" s="60"/>
      <c r="E112" s="77">
        <v>13.9767975</v>
      </c>
      <c r="F112" s="78">
        <v>86.836910943515008</v>
      </c>
      <c r="G112" s="79">
        <v>100.81370844351501</v>
      </c>
      <c r="H112" s="80">
        <v>101.41989999999998</v>
      </c>
      <c r="I112" s="61">
        <v>0</v>
      </c>
      <c r="J112" s="81">
        <v>101.41989999999998</v>
      </c>
      <c r="K112" s="62">
        <v>101.41989999999998</v>
      </c>
      <c r="L112" s="59"/>
      <c r="M112" s="63">
        <v>7.3438701735973515</v>
      </c>
    </row>
    <row r="113" spans="1:13" ht="15" customHeight="1" x14ac:dyDescent="0.3">
      <c r="A113" s="49">
        <v>4</v>
      </c>
      <c r="B113" s="32" t="s">
        <v>120</v>
      </c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1"/>
    </row>
    <row r="114" spans="1:13" ht="15" customHeight="1" x14ac:dyDescent="0.3">
      <c r="A114" s="52" t="s">
        <v>101</v>
      </c>
      <c r="B114" s="53" t="s">
        <v>148</v>
      </c>
      <c r="C114" s="54" t="s">
        <v>102</v>
      </c>
      <c r="D114" s="54"/>
      <c r="E114" s="55" t="s">
        <v>149</v>
      </c>
      <c r="F114" s="53" t="s">
        <v>150</v>
      </c>
      <c r="G114" s="56" t="s">
        <v>103</v>
      </c>
      <c r="H114" s="56" t="s">
        <v>104</v>
      </c>
      <c r="I114" s="56" t="s">
        <v>105</v>
      </c>
      <c r="J114" s="56" t="s">
        <v>106</v>
      </c>
      <c r="K114" s="56" t="s">
        <v>107</v>
      </c>
      <c r="L114" s="56"/>
      <c r="M114" s="57" t="s">
        <v>108</v>
      </c>
    </row>
    <row r="115" spans="1:13" ht="15" customHeight="1" x14ac:dyDescent="0.3">
      <c r="A115" s="58">
        <v>355</v>
      </c>
      <c r="B115" s="59">
        <v>1.1000000000000001</v>
      </c>
      <c r="C115" s="60">
        <v>5.8</v>
      </c>
      <c r="D115" s="60"/>
      <c r="E115" s="61">
        <v>191</v>
      </c>
      <c r="F115" s="62">
        <v>171.24545454545449</v>
      </c>
      <c r="G115" s="59">
        <v>0.7</v>
      </c>
      <c r="H115" s="59">
        <v>4.2140000000000004</v>
      </c>
      <c r="I115" s="59">
        <v>1</v>
      </c>
      <c r="J115" s="59">
        <v>1</v>
      </c>
      <c r="K115" s="59">
        <v>1</v>
      </c>
      <c r="L115" s="61"/>
      <c r="M115" s="63">
        <v>5.5720658924548943</v>
      </c>
    </row>
    <row r="116" spans="1:13" ht="15" customHeight="1" x14ac:dyDescent="0.3">
      <c r="A116" s="64" t="s">
        <v>109</v>
      </c>
      <c r="B116" s="65"/>
      <c r="C116" s="54"/>
      <c r="D116" s="54"/>
      <c r="E116" s="56"/>
      <c r="F116" s="66"/>
      <c r="G116" s="67"/>
      <c r="H116" s="68" t="s">
        <v>110</v>
      </c>
      <c r="I116" s="65"/>
      <c r="J116" s="67"/>
      <c r="K116" s="69"/>
      <c r="L116" s="70"/>
      <c r="M116" s="71"/>
    </row>
    <row r="117" spans="1:13" ht="15" customHeight="1" x14ac:dyDescent="0.3">
      <c r="A117" s="72" t="s">
        <v>151</v>
      </c>
      <c r="B117" s="54"/>
      <c r="C117" s="54"/>
      <c r="D117" s="54"/>
      <c r="E117" s="54" t="s">
        <v>152</v>
      </c>
      <c r="F117" s="54" t="s">
        <v>153</v>
      </c>
      <c r="G117" s="73" t="s">
        <v>111</v>
      </c>
      <c r="H117" s="74" t="s">
        <v>152</v>
      </c>
      <c r="I117" s="54" t="s">
        <v>153</v>
      </c>
      <c r="J117" s="75" t="s">
        <v>112</v>
      </c>
      <c r="K117" s="56" t="s">
        <v>113</v>
      </c>
      <c r="L117" s="56"/>
      <c r="M117" s="57" t="s">
        <v>114</v>
      </c>
    </row>
    <row r="118" spans="1:13" ht="15" customHeight="1" x14ac:dyDescent="0.3">
      <c r="A118" s="76" t="s">
        <v>121</v>
      </c>
      <c r="B118" s="60"/>
      <c r="C118" s="60"/>
      <c r="D118" s="60"/>
      <c r="E118" s="77">
        <v>0</v>
      </c>
      <c r="F118" s="78">
        <v>81.583270874999982</v>
      </c>
      <c r="G118" s="79">
        <v>81.583270874999982</v>
      </c>
      <c r="H118" s="80">
        <v>72.259674999999987</v>
      </c>
      <c r="I118" s="61">
        <v>0</v>
      </c>
      <c r="J118" s="81">
        <v>72.259674999999987</v>
      </c>
      <c r="K118" s="62">
        <v>81.583270874999982</v>
      </c>
      <c r="L118" s="59"/>
      <c r="M118" s="63">
        <v>8.6338945626591972</v>
      </c>
    </row>
    <row r="119" spans="1:13" ht="15" customHeight="1" x14ac:dyDescent="0.3">
      <c r="A119" s="49">
        <v>5</v>
      </c>
      <c r="B119" s="32" t="s">
        <v>122</v>
      </c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1"/>
    </row>
    <row r="120" spans="1:13" ht="15" customHeight="1" x14ac:dyDescent="0.3">
      <c r="A120" s="52" t="s">
        <v>101</v>
      </c>
      <c r="B120" s="53" t="s">
        <v>148</v>
      </c>
      <c r="C120" s="54" t="s">
        <v>102</v>
      </c>
      <c r="D120" s="54"/>
      <c r="E120" s="55" t="s">
        <v>149</v>
      </c>
      <c r="F120" s="53" t="s">
        <v>150</v>
      </c>
      <c r="G120" s="56" t="s">
        <v>103</v>
      </c>
      <c r="H120" s="56" t="s">
        <v>104</v>
      </c>
      <c r="I120" s="56" t="s">
        <v>105</v>
      </c>
      <c r="J120" s="56" t="s">
        <v>106</v>
      </c>
      <c r="K120" s="56" t="s">
        <v>107</v>
      </c>
      <c r="L120" s="56"/>
      <c r="M120" s="57" t="s">
        <v>108</v>
      </c>
    </row>
    <row r="121" spans="1:13" ht="15" customHeight="1" x14ac:dyDescent="0.3">
      <c r="A121" s="58">
        <v>355</v>
      </c>
      <c r="B121" s="59">
        <v>1.1000000000000001</v>
      </c>
      <c r="C121" s="60">
        <v>10.5</v>
      </c>
      <c r="D121" s="60"/>
      <c r="E121" s="61">
        <v>191</v>
      </c>
      <c r="F121" s="62">
        <v>171.24545454545449</v>
      </c>
      <c r="G121" s="59">
        <v>0.75</v>
      </c>
      <c r="H121" s="59">
        <v>4.2140000000000004</v>
      </c>
      <c r="I121" s="59">
        <v>1</v>
      </c>
      <c r="J121" s="59">
        <v>1</v>
      </c>
      <c r="K121" s="59">
        <v>1</v>
      </c>
      <c r="L121" s="61"/>
      <c r="M121" s="63">
        <v>5.5720658924548943</v>
      </c>
    </row>
    <row r="122" spans="1:13" ht="15" customHeight="1" x14ac:dyDescent="0.3">
      <c r="A122" s="64" t="s">
        <v>109</v>
      </c>
      <c r="B122" s="65"/>
      <c r="C122" s="54"/>
      <c r="D122" s="54"/>
      <c r="E122" s="56"/>
      <c r="F122" s="66"/>
      <c r="G122" s="67"/>
      <c r="H122" s="68" t="s">
        <v>110</v>
      </c>
      <c r="I122" s="65"/>
      <c r="J122" s="67"/>
      <c r="K122" s="69"/>
      <c r="L122" s="70"/>
      <c r="M122" s="71"/>
    </row>
    <row r="123" spans="1:13" ht="15" customHeight="1" x14ac:dyDescent="0.3">
      <c r="A123" s="72" t="s">
        <v>151</v>
      </c>
      <c r="B123" s="54"/>
      <c r="C123" s="54"/>
      <c r="D123" s="54"/>
      <c r="E123" s="54" t="s">
        <v>152</v>
      </c>
      <c r="F123" s="54" t="s">
        <v>153</v>
      </c>
      <c r="G123" s="73" t="s">
        <v>111</v>
      </c>
      <c r="H123" s="74" t="s">
        <v>152</v>
      </c>
      <c r="I123" s="54" t="s">
        <v>153</v>
      </c>
      <c r="J123" s="75" t="s">
        <v>112</v>
      </c>
      <c r="K123" s="56" t="s">
        <v>113</v>
      </c>
      <c r="L123" s="56"/>
      <c r="M123" s="57" t="s">
        <v>114</v>
      </c>
    </row>
    <row r="124" spans="1:13" ht="15" customHeight="1" x14ac:dyDescent="0.3">
      <c r="A124" s="76" t="s">
        <v>123</v>
      </c>
      <c r="B124" s="60"/>
      <c r="C124" s="60"/>
      <c r="D124" s="60"/>
      <c r="E124" s="77">
        <v>0</v>
      </c>
      <c r="F124" s="78">
        <v>17.782709624999981</v>
      </c>
      <c r="G124" s="79">
        <v>17.782709624999981</v>
      </c>
      <c r="H124" s="80">
        <v>25</v>
      </c>
      <c r="I124" s="61">
        <v>0</v>
      </c>
      <c r="J124" s="81">
        <v>25</v>
      </c>
      <c r="K124" s="62">
        <v>25</v>
      </c>
      <c r="L124" s="59"/>
      <c r="M124" s="63">
        <v>6.5720658924548943</v>
      </c>
    </row>
    <row r="125" spans="1:13" ht="15" customHeight="1" x14ac:dyDescent="0.3">
      <c r="A125" s="49">
        <v>6</v>
      </c>
      <c r="B125" s="32" t="s">
        <v>124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1"/>
    </row>
    <row r="126" spans="1:13" ht="15" customHeight="1" x14ac:dyDescent="0.3">
      <c r="A126" s="52" t="s">
        <v>101</v>
      </c>
      <c r="B126" s="53" t="s">
        <v>148</v>
      </c>
      <c r="C126" s="54" t="s">
        <v>102</v>
      </c>
      <c r="D126" s="54"/>
      <c r="E126" s="55" t="s">
        <v>149</v>
      </c>
      <c r="F126" s="53" t="s">
        <v>150</v>
      </c>
      <c r="G126" s="56" t="s">
        <v>103</v>
      </c>
      <c r="H126" s="56" t="s">
        <v>104</v>
      </c>
      <c r="I126" s="56" t="s">
        <v>105</v>
      </c>
      <c r="J126" s="56" t="s">
        <v>106</v>
      </c>
      <c r="K126" s="56" t="s">
        <v>107</v>
      </c>
      <c r="L126" s="56"/>
      <c r="M126" s="57" t="s">
        <v>108</v>
      </c>
    </row>
    <row r="127" spans="1:13" ht="15" customHeight="1" x14ac:dyDescent="0.3">
      <c r="A127" s="58">
        <v>355</v>
      </c>
      <c r="B127" s="59">
        <v>1.1000000000000001</v>
      </c>
      <c r="C127" s="60">
        <v>7</v>
      </c>
      <c r="D127" s="60"/>
      <c r="E127" s="61">
        <v>127</v>
      </c>
      <c r="F127" s="62">
        <v>254.44545454545451</v>
      </c>
      <c r="G127" s="59">
        <v>0.75</v>
      </c>
      <c r="H127" s="59">
        <v>4</v>
      </c>
      <c r="I127" s="59">
        <v>1</v>
      </c>
      <c r="J127" s="59">
        <v>1</v>
      </c>
      <c r="K127" s="59">
        <v>1</v>
      </c>
      <c r="L127" s="61"/>
      <c r="M127" s="63">
        <v>5.5720658924548943</v>
      </c>
    </row>
    <row r="128" spans="1:13" ht="15" customHeight="1" x14ac:dyDescent="0.3">
      <c r="A128" s="64" t="s">
        <v>109</v>
      </c>
      <c r="B128" s="65"/>
      <c r="C128" s="54"/>
      <c r="D128" s="54"/>
      <c r="E128" s="56"/>
      <c r="F128" s="66"/>
      <c r="G128" s="67"/>
      <c r="H128" s="68" t="s">
        <v>110</v>
      </c>
      <c r="I128" s="65"/>
      <c r="J128" s="67"/>
      <c r="K128" s="69"/>
      <c r="L128" s="70"/>
      <c r="M128" s="71"/>
    </row>
    <row r="129" spans="1:13" ht="15" customHeight="1" x14ac:dyDescent="0.3">
      <c r="A129" s="72" t="s">
        <v>151</v>
      </c>
      <c r="B129" s="54"/>
      <c r="C129" s="54"/>
      <c r="D129" s="54"/>
      <c r="E129" s="54" t="s">
        <v>152</v>
      </c>
      <c r="F129" s="54" t="s">
        <v>153</v>
      </c>
      <c r="G129" s="73" t="s">
        <v>111</v>
      </c>
      <c r="H129" s="74" t="s">
        <v>152</v>
      </c>
      <c r="I129" s="54" t="s">
        <v>153</v>
      </c>
      <c r="J129" s="75" t="s">
        <v>112</v>
      </c>
      <c r="K129" s="56" t="s">
        <v>113</v>
      </c>
      <c r="L129" s="56"/>
      <c r="M129" s="57" t="s">
        <v>114</v>
      </c>
    </row>
    <row r="130" spans="1:13" ht="15" customHeight="1" x14ac:dyDescent="0.3">
      <c r="A130" s="76" t="s">
        <v>125</v>
      </c>
      <c r="B130" s="60"/>
      <c r="C130" s="60"/>
      <c r="D130" s="60"/>
      <c r="E130" s="77">
        <v>0</v>
      </c>
      <c r="F130" s="78">
        <v>65.293765874999991</v>
      </c>
      <c r="G130" s="79">
        <v>65.293765874999991</v>
      </c>
      <c r="H130" s="80">
        <v>60.193374999999996</v>
      </c>
      <c r="I130" s="61">
        <v>0</v>
      </c>
      <c r="J130" s="81">
        <v>60.193374999999996</v>
      </c>
      <c r="K130" s="62">
        <v>65.293765874999991</v>
      </c>
      <c r="L130" s="59"/>
      <c r="M130" s="63">
        <v>7.0028412837538214</v>
      </c>
    </row>
    <row r="131" spans="1:13" ht="15" customHeight="1" x14ac:dyDescent="0.3">
      <c r="A131" s="49">
        <v>7</v>
      </c>
      <c r="B131" s="32" t="s">
        <v>126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1"/>
    </row>
    <row r="132" spans="1:13" ht="15" customHeight="1" x14ac:dyDescent="0.3">
      <c r="A132" s="52" t="s">
        <v>101</v>
      </c>
      <c r="B132" s="53" t="s">
        <v>148</v>
      </c>
      <c r="C132" s="54" t="s">
        <v>102</v>
      </c>
      <c r="D132" s="54"/>
      <c r="E132" s="55" t="s">
        <v>149</v>
      </c>
      <c r="F132" s="53" t="s">
        <v>150</v>
      </c>
      <c r="G132" s="56" t="s">
        <v>103</v>
      </c>
      <c r="H132" s="56" t="s">
        <v>104</v>
      </c>
      <c r="I132" s="56" t="s">
        <v>105</v>
      </c>
      <c r="J132" s="56" t="s">
        <v>106</v>
      </c>
      <c r="K132" s="56" t="s">
        <v>107</v>
      </c>
      <c r="L132" s="56"/>
      <c r="M132" s="57" t="s">
        <v>108</v>
      </c>
    </row>
    <row r="133" spans="1:13" ht="15" customHeight="1" x14ac:dyDescent="0.3">
      <c r="A133" s="58">
        <v>355</v>
      </c>
      <c r="B133" s="59">
        <v>1.1000000000000001</v>
      </c>
      <c r="C133" s="60">
        <v>0</v>
      </c>
      <c r="D133" s="60"/>
      <c r="E133" s="61">
        <v>191</v>
      </c>
      <c r="F133" s="62">
        <v>171.24545454545449</v>
      </c>
      <c r="G133" s="59">
        <v>0.75</v>
      </c>
      <c r="H133" s="59">
        <v>4</v>
      </c>
      <c r="I133" s="59">
        <v>1</v>
      </c>
      <c r="J133" s="59">
        <v>1</v>
      </c>
      <c r="K133" s="59">
        <v>1</v>
      </c>
      <c r="L133" s="61"/>
      <c r="M133" s="63">
        <v>5.5720658924548943</v>
      </c>
    </row>
    <row r="134" spans="1:13" ht="15" customHeight="1" x14ac:dyDescent="0.3">
      <c r="A134" s="64" t="s">
        <v>109</v>
      </c>
      <c r="B134" s="65"/>
      <c r="C134" s="54"/>
      <c r="D134" s="54"/>
      <c r="E134" s="56"/>
      <c r="F134" s="66"/>
      <c r="G134" s="67"/>
      <c r="H134" s="68" t="s">
        <v>110</v>
      </c>
      <c r="I134" s="65"/>
      <c r="J134" s="67"/>
      <c r="K134" s="69"/>
      <c r="L134" s="70"/>
      <c r="M134" s="71"/>
    </row>
    <row r="135" spans="1:13" ht="15" customHeight="1" x14ac:dyDescent="0.3">
      <c r="A135" s="72" t="s">
        <v>151</v>
      </c>
      <c r="B135" s="54"/>
      <c r="C135" s="54"/>
      <c r="D135" s="54"/>
      <c r="E135" s="54" t="s">
        <v>152</v>
      </c>
      <c r="F135" s="54" t="s">
        <v>153</v>
      </c>
      <c r="G135" s="73" t="s">
        <v>111</v>
      </c>
      <c r="H135" s="74" t="s">
        <v>152</v>
      </c>
      <c r="I135" s="54" t="s">
        <v>153</v>
      </c>
      <c r="J135" s="75" t="s">
        <v>112</v>
      </c>
      <c r="K135" s="56" t="s">
        <v>113</v>
      </c>
      <c r="L135" s="56"/>
      <c r="M135" s="57" t="s">
        <v>114</v>
      </c>
    </row>
    <row r="136" spans="1:13" ht="15" customHeight="1" x14ac:dyDescent="0.3">
      <c r="A136" s="76" t="s">
        <v>117</v>
      </c>
      <c r="B136" s="60"/>
      <c r="C136" s="60"/>
      <c r="D136" s="60"/>
      <c r="E136" s="77">
        <v>43.137022499999993</v>
      </c>
      <c r="F136" s="78">
        <v>61.966966861816026</v>
      </c>
      <c r="G136" s="79">
        <v>105.10398936181602</v>
      </c>
      <c r="H136" s="80">
        <v>0</v>
      </c>
      <c r="I136" s="61">
        <v>0</v>
      </c>
      <c r="J136" s="81">
        <v>0</v>
      </c>
      <c r="K136" s="62">
        <v>105.10398936181602</v>
      </c>
      <c r="L136" s="59"/>
      <c r="M136" s="63">
        <v>10.283642848058932</v>
      </c>
    </row>
    <row r="137" spans="1:13" ht="15" customHeight="1" x14ac:dyDescent="0.3">
      <c r="A137" s="49">
        <v>8</v>
      </c>
      <c r="B137" s="32" t="s">
        <v>127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1"/>
    </row>
    <row r="138" spans="1:13" ht="15" customHeight="1" x14ac:dyDescent="0.3">
      <c r="A138" s="52" t="s">
        <v>101</v>
      </c>
      <c r="B138" s="53" t="s">
        <v>148</v>
      </c>
      <c r="C138" s="54" t="s">
        <v>102</v>
      </c>
      <c r="D138" s="54"/>
      <c r="E138" s="55" t="s">
        <v>149</v>
      </c>
      <c r="F138" s="53" t="s">
        <v>150</v>
      </c>
      <c r="G138" s="56" t="s">
        <v>103</v>
      </c>
      <c r="H138" s="56" t="s">
        <v>104</v>
      </c>
      <c r="I138" s="56" t="s">
        <v>105</v>
      </c>
      <c r="J138" s="56" t="s">
        <v>106</v>
      </c>
      <c r="K138" s="56" t="s">
        <v>107</v>
      </c>
      <c r="L138" s="56"/>
      <c r="M138" s="57" t="s">
        <v>108</v>
      </c>
    </row>
    <row r="139" spans="1:13" ht="15" customHeight="1" x14ac:dyDescent="0.3">
      <c r="A139" s="58">
        <v>355</v>
      </c>
      <c r="B139" s="59">
        <v>1.1000000000000001</v>
      </c>
      <c r="C139" s="60">
        <v>0</v>
      </c>
      <c r="D139" s="60"/>
      <c r="E139" s="61">
        <v>191</v>
      </c>
      <c r="F139" s="62">
        <v>171.24545454545449</v>
      </c>
      <c r="G139" s="59">
        <v>0.7</v>
      </c>
      <c r="H139" s="59">
        <v>4</v>
      </c>
      <c r="I139" s="59">
        <v>1</v>
      </c>
      <c r="J139" s="59">
        <v>1</v>
      </c>
      <c r="K139" s="59">
        <v>1</v>
      </c>
      <c r="L139" s="61"/>
      <c r="M139" s="63">
        <v>5.5720658924548943</v>
      </c>
    </row>
    <row r="140" spans="1:13" ht="15" customHeight="1" x14ac:dyDescent="0.3">
      <c r="A140" s="64" t="s">
        <v>109</v>
      </c>
      <c r="B140" s="65"/>
      <c r="C140" s="54"/>
      <c r="D140" s="54"/>
      <c r="E140" s="56"/>
      <c r="F140" s="66"/>
      <c r="G140" s="67"/>
      <c r="H140" s="68" t="s">
        <v>110</v>
      </c>
      <c r="I140" s="65"/>
      <c r="J140" s="67"/>
      <c r="K140" s="69"/>
      <c r="L140" s="70"/>
      <c r="M140" s="71"/>
    </row>
    <row r="141" spans="1:13" ht="15" customHeight="1" x14ac:dyDescent="0.3">
      <c r="A141" s="72" t="s">
        <v>151</v>
      </c>
      <c r="B141" s="54"/>
      <c r="C141" s="54"/>
      <c r="D141" s="54"/>
      <c r="E141" s="54" t="s">
        <v>152</v>
      </c>
      <c r="F141" s="54" t="s">
        <v>153</v>
      </c>
      <c r="G141" s="73" t="s">
        <v>111</v>
      </c>
      <c r="H141" s="74" t="s">
        <v>152</v>
      </c>
      <c r="I141" s="54" t="s">
        <v>153</v>
      </c>
      <c r="J141" s="75" t="s">
        <v>112</v>
      </c>
      <c r="K141" s="56" t="s">
        <v>113</v>
      </c>
      <c r="L141" s="56"/>
      <c r="M141" s="57" t="s">
        <v>114</v>
      </c>
    </row>
    <row r="142" spans="1:13" ht="15" customHeight="1" x14ac:dyDescent="0.3">
      <c r="A142" s="76" t="s">
        <v>117</v>
      </c>
      <c r="B142" s="60"/>
      <c r="C142" s="60"/>
      <c r="D142" s="60"/>
      <c r="E142" s="77">
        <v>43.137022499999993</v>
      </c>
      <c r="F142" s="78">
        <v>61.966966861816026</v>
      </c>
      <c r="G142" s="79">
        <v>105.10398936181602</v>
      </c>
      <c r="H142" s="80">
        <v>0</v>
      </c>
      <c r="I142" s="61">
        <v>0</v>
      </c>
      <c r="J142" s="81">
        <v>0</v>
      </c>
      <c r="K142" s="62">
        <v>105.10398936181602</v>
      </c>
      <c r="L142" s="59"/>
      <c r="M142" s="63">
        <v>9.6647333248550016</v>
      </c>
    </row>
    <row r="143" spans="1:13" ht="15" customHeight="1" x14ac:dyDescent="0.3">
      <c r="A143" s="49">
        <v>9</v>
      </c>
      <c r="B143" s="32" t="s">
        <v>128</v>
      </c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1"/>
    </row>
    <row r="144" spans="1:13" ht="15" customHeight="1" x14ac:dyDescent="0.3">
      <c r="A144" s="52" t="s">
        <v>101</v>
      </c>
      <c r="B144" s="53" t="s">
        <v>148</v>
      </c>
      <c r="C144" s="54" t="s">
        <v>102</v>
      </c>
      <c r="D144" s="54"/>
      <c r="E144" s="55" t="s">
        <v>149</v>
      </c>
      <c r="F144" s="53" t="s">
        <v>150</v>
      </c>
      <c r="G144" s="56" t="s">
        <v>103</v>
      </c>
      <c r="H144" s="56" t="s">
        <v>104</v>
      </c>
      <c r="I144" s="56" t="s">
        <v>105</v>
      </c>
      <c r="J144" s="56" t="s">
        <v>106</v>
      </c>
      <c r="K144" s="56" t="s">
        <v>107</v>
      </c>
      <c r="L144" s="56"/>
      <c r="M144" s="57" t="s">
        <v>108</v>
      </c>
    </row>
    <row r="145" spans="1:13" ht="15" customHeight="1" x14ac:dyDescent="0.3">
      <c r="A145" s="58">
        <v>355</v>
      </c>
      <c r="B145" s="59">
        <v>1.1000000000000001</v>
      </c>
      <c r="C145" s="60">
        <v>2.9</v>
      </c>
      <c r="D145" s="60"/>
      <c r="E145" s="61">
        <v>85.6</v>
      </c>
      <c r="F145" s="62">
        <v>308.26545454545453</v>
      </c>
      <c r="G145" s="59">
        <v>0.7</v>
      </c>
      <c r="H145" s="59">
        <v>4</v>
      </c>
      <c r="I145" s="59">
        <v>1</v>
      </c>
      <c r="J145" s="59">
        <v>1</v>
      </c>
      <c r="K145" s="59">
        <v>1</v>
      </c>
      <c r="L145" s="61"/>
      <c r="M145" s="63">
        <v>5.5720658924548943</v>
      </c>
    </row>
    <row r="146" spans="1:13" ht="15" customHeight="1" x14ac:dyDescent="0.3">
      <c r="A146" s="64" t="s">
        <v>109</v>
      </c>
      <c r="B146" s="65"/>
      <c r="C146" s="54"/>
      <c r="D146" s="54"/>
      <c r="E146" s="56"/>
      <c r="F146" s="66"/>
      <c r="G146" s="67"/>
      <c r="H146" s="68" t="s">
        <v>110</v>
      </c>
      <c r="I146" s="65"/>
      <c r="J146" s="67"/>
      <c r="K146" s="69"/>
      <c r="L146" s="70"/>
      <c r="M146" s="71"/>
    </row>
    <row r="147" spans="1:13" ht="15" customHeight="1" x14ac:dyDescent="0.3">
      <c r="A147" s="72" t="s">
        <v>151</v>
      </c>
      <c r="B147" s="54"/>
      <c r="C147" s="54"/>
      <c r="D147" s="54"/>
      <c r="E147" s="54" t="s">
        <v>152</v>
      </c>
      <c r="F147" s="54" t="s">
        <v>153</v>
      </c>
      <c r="G147" s="73" t="s">
        <v>111</v>
      </c>
      <c r="H147" s="74" t="s">
        <v>152</v>
      </c>
      <c r="I147" s="54" t="s">
        <v>153</v>
      </c>
      <c r="J147" s="75" t="s">
        <v>112</v>
      </c>
      <c r="K147" s="56" t="s">
        <v>113</v>
      </c>
      <c r="L147" s="56"/>
      <c r="M147" s="57" t="s">
        <v>114</v>
      </c>
    </row>
    <row r="148" spans="1:13" ht="15" customHeight="1" x14ac:dyDescent="0.3">
      <c r="A148" s="76" t="s">
        <v>119</v>
      </c>
      <c r="B148" s="60"/>
      <c r="C148" s="60"/>
      <c r="D148" s="60"/>
      <c r="E148" s="77">
        <v>13.9767975</v>
      </c>
      <c r="F148" s="78">
        <v>86.836910943515008</v>
      </c>
      <c r="G148" s="79">
        <v>100.81370844351501</v>
      </c>
      <c r="H148" s="80">
        <v>0</v>
      </c>
      <c r="I148" s="61">
        <v>0</v>
      </c>
      <c r="J148" s="81">
        <v>0</v>
      </c>
      <c r="K148" s="62">
        <v>100.81370844351501</v>
      </c>
      <c r="L148" s="59"/>
      <c r="M148" s="63">
        <v>7.3248829526161403</v>
      </c>
    </row>
    <row r="149" spans="1:13" ht="15" customHeight="1" x14ac:dyDescent="0.3">
      <c r="A149" s="49">
        <v>10</v>
      </c>
      <c r="B149" s="32" t="s">
        <v>129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1"/>
    </row>
    <row r="150" spans="1:13" ht="15" customHeight="1" x14ac:dyDescent="0.3">
      <c r="A150" s="52" t="s">
        <v>101</v>
      </c>
      <c r="B150" s="53" t="s">
        <v>148</v>
      </c>
      <c r="C150" s="54" t="s">
        <v>102</v>
      </c>
      <c r="D150" s="54"/>
      <c r="E150" s="55" t="s">
        <v>149</v>
      </c>
      <c r="F150" s="53" t="s">
        <v>150</v>
      </c>
      <c r="G150" s="56" t="s">
        <v>103</v>
      </c>
      <c r="H150" s="56" t="s">
        <v>104</v>
      </c>
      <c r="I150" s="56" t="s">
        <v>105</v>
      </c>
      <c r="J150" s="56" t="s">
        <v>106</v>
      </c>
      <c r="K150" s="56" t="s">
        <v>107</v>
      </c>
      <c r="L150" s="56"/>
      <c r="M150" s="57" t="s">
        <v>108</v>
      </c>
    </row>
    <row r="151" spans="1:13" ht="15" customHeight="1" x14ac:dyDescent="0.3">
      <c r="A151" s="58">
        <v>355</v>
      </c>
      <c r="B151" s="59">
        <v>1.1000000000000001</v>
      </c>
      <c r="C151" s="60">
        <v>5.8</v>
      </c>
      <c r="D151" s="60"/>
      <c r="E151" s="61">
        <v>127</v>
      </c>
      <c r="F151" s="62">
        <v>254.44545454545451</v>
      </c>
      <c r="G151" s="59">
        <v>0.7</v>
      </c>
      <c r="H151" s="59">
        <v>4</v>
      </c>
      <c r="I151" s="59">
        <v>1</v>
      </c>
      <c r="J151" s="59">
        <v>1</v>
      </c>
      <c r="K151" s="59">
        <v>1</v>
      </c>
      <c r="L151" s="61"/>
      <c r="M151" s="63">
        <v>5.5720658924548943</v>
      </c>
    </row>
    <row r="152" spans="1:13" ht="15" customHeight="1" x14ac:dyDescent="0.3">
      <c r="A152" s="64" t="s">
        <v>109</v>
      </c>
      <c r="B152" s="65"/>
      <c r="C152" s="54"/>
      <c r="D152" s="54"/>
      <c r="E152" s="56"/>
      <c r="F152" s="66"/>
      <c r="G152" s="67"/>
      <c r="H152" s="68" t="s">
        <v>110</v>
      </c>
      <c r="I152" s="65"/>
      <c r="J152" s="67"/>
      <c r="K152" s="69"/>
      <c r="L152" s="70"/>
      <c r="M152" s="71"/>
    </row>
    <row r="153" spans="1:13" ht="15" customHeight="1" x14ac:dyDescent="0.3">
      <c r="A153" s="72" t="s">
        <v>151</v>
      </c>
      <c r="B153" s="54"/>
      <c r="C153" s="54"/>
      <c r="D153" s="54"/>
      <c r="E153" s="54" t="s">
        <v>152</v>
      </c>
      <c r="F153" s="54" t="s">
        <v>153</v>
      </c>
      <c r="G153" s="73" t="s">
        <v>111</v>
      </c>
      <c r="H153" s="74" t="s">
        <v>152</v>
      </c>
      <c r="I153" s="54" t="s">
        <v>153</v>
      </c>
      <c r="J153" s="75" t="s">
        <v>112</v>
      </c>
      <c r="K153" s="56" t="s">
        <v>113</v>
      </c>
      <c r="L153" s="56"/>
      <c r="M153" s="57" t="s">
        <v>114</v>
      </c>
    </row>
    <row r="154" spans="1:13" ht="15" customHeight="1" x14ac:dyDescent="0.3">
      <c r="A154" s="76" t="s">
        <v>121</v>
      </c>
      <c r="B154" s="60"/>
      <c r="C154" s="60"/>
      <c r="D154" s="60"/>
      <c r="E154" s="77">
        <v>0</v>
      </c>
      <c r="F154" s="78">
        <v>81.583270874999982</v>
      </c>
      <c r="G154" s="79">
        <v>81.583270874999982</v>
      </c>
      <c r="H154" s="80">
        <v>0</v>
      </c>
      <c r="I154" s="61">
        <v>0</v>
      </c>
      <c r="J154" s="81">
        <v>0</v>
      </c>
      <c r="K154" s="62">
        <v>81.583270874999982</v>
      </c>
      <c r="L154" s="59"/>
      <c r="M154" s="63">
        <v>7.2626527990297367</v>
      </c>
    </row>
    <row r="155" spans="1:13" ht="15" customHeight="1" x14ac:dyDescent="0.3">
      <c r="A155" s="49">
        <v>11</v>
      </c>
      <c r="B155" s="32" t="s">
        <v>88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1"/>
    </row>
    <row r="156" spans="1:13" ht="15" customHeight="1" x14ac:dyDescent="0.3">
      <c r="A156" s="52" t="s">
        <v>101</v>
      </c>
      <c r="B156" s="53" t="s">
        <v>148</v>
      </c>
      <c r="C156" s="54" t="s">
        <v>102</v>
      </c>
      <c r="D156" s="54"/>
      <c r="E156" s="55" t="s">
        <v>149</v>
      </c>
      <c r="F156" s="53" t="s">
        <v>150</v>
      </c>
      <c r="G156" s="56" t="s">
        <v>103</v>
      </c>
      <c r="H156" s="56" t="s">
        <v>104</v>
      </c>
      <c r="I156" s="56" t="s">
        <v>105</v>
      </c>
      <c r="J156" s="56" t="s">
        <v>106</v>
      </c>
      <c r="K156" s="56" t="s">
        <v>107</v>
      </c>
      <c r="L156" s="56"/>
      <c r="M156" s="57" t="s">
        <v>108</v>
      </c>
    </row>
    <row r="157" spans="1:13" ht="15" customHeight="1" x14ac:dyDescent="0.3">
      <c r="A157" s="58">
        <v>355</v>
      </c>
      <c r="B157" s="59">
        <v>1.1000000000000001</v>
      </c>
      <c r="C157" s="60">
        <v>7</v>
      </c>
      <c r="D157" s="60"/>
      <c r="E157" s="61">
        <v>127</v>
      </c>
      <c r="F157" s="62">
        <v>254.44545454545451</v>
      </c>
      <c r="G157" s="59">
        <v>0.7</v>
      </c>
      <c r="H157" s="59">
        <v>4</v>
      </c>
      <c r="I157" s="59">
        <v>1</v>
      </c>
      <c r="J157" s="59">
        <v>1</v>
      </c>
      <c r="K157" s="59">
        <v>1</v>
      </c>
      <c r="L157" s="61"/>
      <c r="M157" s="63">
        <v>5.5720658924548943</v>
      </c>
    </row>
    <row r="158" spans="1:13" ht="15" customHeight="1" x14ac:dyDescent="0.3">
      <c r="A158" s="64" t="s">
        <v>109</v>
      </c>
      <c r="B158" s="65"/>
      <c r="C158" s="54"/>
      <c r="D158" s="54"/>
      <c r="E158" s="56"/>
      <c r="F158" s="66"/>
      <c r="G158" s="67"/>
      <c r="H158" s="68" t="s">
        <v>110</v>
      </c>
      <c r="I158" s="65"/>
      <c r="J158" s="67"/>
      <c r="K158" s="69"/>
      <c r="L158" s="70"/>
      <c r="M158" s="71"/>
    </row>
    <row r="159" spans="1:13" ht="15" customHeight="1" x14ac:dyDescent="0.3">
      <c r="A159" s="72" t="s">
        <v>151</v>
      </c>
      <c r="B159" s="54"/>
      <c r="C159" s="54"/>
      <c r="D159" s="54"/>
      <c r="E159" s="54" t="s">
        <v>152</v>
      </c>
      <c r="F159" s="54" t="s">
        <v>153</v>
      </c>
      <c r="G159" s="73" t="s">
        <v>111</v>
      </c>
      <c r="H159" s="74" t="s">
        <v>152</v>
      </c>
      <c r="I159" s="54" t="s">
        <v>153</v>
      </c>
      <c r="J159" s="75" t="s">
        <v>112</v>
      </c>
      <c r="K159" s="56" t="s">
        <v>113</v>
      </c>
      <c r="L159" s="56"/>
      <c r="M159" s="57" t="s">
        <v>114</v>
      </c>
    </row>
    <row r="160" spans="1:13" ht="15" customHeight="1" x14ac:dyDescent="0.3">
      <c r="A160" s="76" t="s">
        <v>125</v>
      </c>
      <c r="B160" s="60"/>
      <c r="C160" s="60"/>
      <c r="D160" s="60"/>
      <c r="E160" s="77">
        <v>0</v>
      </c>
      <c r="F160" s="78">
        <v>65.293765874999991</v>
      </c>
      <c r="G160" s="79">
        <v>65.293765874999991</v>
      </c>
      <c r="H160" s="80">
        <v>0</v>
      </c>
      <c r="I160" s="61">
        <v>0</v>
      </c>
      <c r="J160" s="81">
        <v>0</v>
      </c>
      <c r="K160" s="62">
        <v>65.293765874999991</v>
      </c>
      <c r="L160" s="59"/>
      <c r="M160" s="63">
        <v>6.6026518648368988</v>
      </c>
    </row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483" spans="1:13" ht="12" customHeight="1" x14ac:dyDescent="0.3">
      <c r="A483" s="82"/>
      <c r="B483" s="82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2"/>
    </row>
    <row r="484" spans="1:13" ht="12" customHeight="1" x14ac:dyDescent="0.3">
      <c r="A484" s="82"/>
      <c r="B484" s="82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/>
    </row>
    <row r="485" spans="1:13" ht="12" customHeight="1" x14ac:dyDescent="0.3">
      <c r="A485" s="82"/>
      <c r="B485" s="82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2"/>
    </row>
    <row r="555" spans="1:13" ht="12" customHeight="1" x14ac:dyDescent="0.3">
      <c r="A555" s="82"/>
      <c r="B555" s="82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2"/>
    </row>
    <row r="556" spans="1:13" ht="12" customHeight="1" x14ac:dyDescent="0.3">
      <c r="A556" s="82"/>
      <c r="B556" s="82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/>
    </row>
    <row r="557" spans="1:13" ht="12" customHeight="1" x14ac:dyDescent="0.3">
      <c r="A557" s="82"/>
      <c r="B557" s="82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2"/>
    </row>
  </sheetData>
  <mergeCells count="3">
    <mergeCell ref="F4:M5"/>
    <mergeCell ref="F29:F30"/>
    <mergeCell ref="A29:A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Front</vt:lpstr>
      <vt:lpstr>Load</vt:lpstr>
      <vt:lpstr>Plates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정우열</dc:creator>
  <cp:lastModifiedBy>우열 정</cp:lastModifiedBy>
  <cp:lastPrinted>2023-10-31T16:15:25Z</cp:lastPrinted>
  <dcterms:created xsi:type="dcterms:W3CDTF">2015-06-05T18:19:34Z</dcterms:created>
  <dcterms:modified xsi:type="dcterms:W3CDTF">2023-10-31T16:21:25Z</dcterms:modified>
</cp:coreProperties>
</file>