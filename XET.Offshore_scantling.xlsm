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EngExcel\"/>
    </mc:Choice>
  </mc:AlternateContent>
  <xr:revisionPtr revIDLastSave="0" documentId="13_ncr:1_{A46FEF09-3072-4429-8A0C-346070CF1478}" xr6:coauthVersionLast="47" xr6:coauthVersionMax="47" xr10:uidLastSave="{00000000-0000-0000-0000-000000000000}"/>
  <bookViews>
    <workbookView xWindow="-41020" yWindow="1820" windowWidth="21600" windowHeight="11300" activeTab="1" xr2:uid="{FCC1A85E-97E3-4657-BDF1-A65A890ACCBE}"/>
  </bookViews>
  <sheets>
    <sheet name="Front" sheetId="2" r:id="rId1"/>
    <sheet name="Scantling" sheetId="1" r:id="rId2"/>
    <sheet name="Plates" sheetId="5" r:id="rId3"/>
    <sheet name="Stiffeners" sheetId="6" r:id="rId4"/>
    <sheet name="Weld_Connection" sheetId="4" r:id="rId5"/>
    <sheet name="connection_area" sheetId="3" r:id="rId6"/>
  </sheets>
  <definedNames>
    <definedName name="grav" localSheetId="2">Plates!#REF!</definedName>
    <definedName name="grav" localSheetId="3">Stiffeners!#REF!</definedName>
    <definedName name="grav">Scantling!$E$5</definedName>
    <definedName name="rho" localSheetId="2">Plates!#REF!</definedName>
    <definedName name="rho" localSheetId="3">Stiffeners!#REF!</definedName>
    <definedName name="rho">Scantling!$D$5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1" i="1" l="1"/>
  <c r="O52" i="1"/>
  <c r="B32" i="6"/>
  <c r="B29" i="6"/>
  <c r="B26" i="6"/>
  <c r="D41" i="1"/>
  <c r="E13" i="6"/>
  <c r="E10" i="6"/>
  <c r="E19" i="5"/>
  <c r="E13" i="5"/>
  <c r="E10" i="5"/>
  <c r="H4" i="2"/>
  <c r="H5" i="2"/>
  <c r="H6" i="2"/>
  <c r="H7" i="2"/>
  <c r="H3" i="2"/>
  <c r="D11" i="3" s="1"/>
  <c r="F9" i="3"/>
  <c r="Q9" i="3" s="1"/>
  <c r="F10" i="3"/>
  <c r="Q10" i="3" s="1"/>
  <c r="F11" i="3"/>
  <c r="Q11" i="3" s="1"/>
  <c r="F12" i="3"/>
  <c r="Q12" i="3" s="1"/>
  <c r="F13" i="3"/>
  <c r="Q13" i="3" s="1"/>
  <c r="F14" i="3"/>
  <c r="Q14" i="3" s="1"/>
  <c r="F15" i="3"/>
  <c r="Q15" i="3" s="1"/>
  <c r="F16" i="3"/>
  <c r="Q16" i="3" s="1"/>
  <c r="F17" i="3"/>
  <c r="Q17" i="3" s="1"/>
  <c r="F18" i="3"/>
  <c r="Q18" i="3" s="1"/>
  <c r="F19" i="3"/>
  <c r="Q19" i="3" s="1"/>
  <c r="F20" i="3"/>
  <c r="Q20" i="3" s="1"/>
  <c r="F22" i="3"/>
  <c r="Q22" i="3" s="1"/>
  <c r="F23" i="3"/>
  <c r="Q23" i="3" s="1"/>
  <c r="F24" i="3"/>
  <c r="Q24" i="3" s="1"/>
  <c r="F25" i="3"/>
  <c r="Q25" i="3" s="1"/>
  <c r="F26" i="3"/>
  <c r="Q26" i="3" s="1"/>
  <c r="F27" i="3"/>
  <c r="Q27" i="3" s="1"/>
  <c r="F28" i="3"/>
  <c r="Q28" i="3" s="1"/>
  <c r="F29" i="3"/>
  <c r="Q29" i="3" s="1"/>
  <c r="F30" i="3"/>
  <c r="Q30" i="3" s="1"/>
  <c r="F31" i="3"/>
  <c r="Q31" i="3" s="1"/>
  <c r="F32" i="3"/>
  <c r="Q32" i="3" s="1"/>
  <c r="F33" i="3"/>
  <c r="Q33" i="3" s="1"/>
  <c r="F34" i="3"/>
  <c r="Q34" i="3" s="1"/>
  <c r="F35" i="3"/>
  <c r="Q35" i="3" s="1"/>
  <c r="F8" i="3"/>
  <c r="Q8" i="3" s="1"/>
  <c r="K23" i="3"/>
  <c r="O35" i="3"/>
  <c r="K35" i="3"/>
  <c r="O34" i="3"/>
  <c r="K34" i="3"/>
  <c r="D34" i="3" l="1"/>
  <c r="P34" i="3" s="1"/>
  <c r="R34" i="3" s="1"/>
  <c r="D35" i="3"/>
  <c r="P35" i="3" s="1"/>
  <c r="R35" i="3" s="1"/>
  <c r="D23" i="3"/>
  <c r="H16" i="4" l="1"/>
  <c r="I16" i="4" s="1"/>
  <c r="H17" i="4"/>
  <c r="I17" i="4" s="1"/>
  <c r="H18" i="4"/>
  <c r="I18" i="4" s="1"/>
  <c r="H19" i="4"/>
  <c r="H20" i="4"/>
  <c r="I20" i="4" s="1"/>
  <c r="H21" i="4"/>
  <c r="I21" i="4" s="1"/>
  <c r="H22" i="4"/>
  <c r="I22" i="4" s="1"/>
  <c r="H23" i="4"/>
  <c r="I23" i="4" s="1"/>
  <c r="H24" i="4"/>
  <c r="I24" i="4" s="1"/>
  <c r="H25" i="4"/>
  <c r="I25" i="4" s="1"/>
  <c r="H26" i="4"/>
  <c r="I26" i="4" s="1"/>
  <c r="H27" i="4"/>
  <c r="I27" i="4" s="1"/>
  <c r="H14" i="4"/>
  <c r="H15" i="4"/>
  <c r="E15" i="4"/>
  <c r="E14" i="4"/>
  <c r="I15" i="4" l="1"/>
  <c r="J15" i="4" s="1"/>
  <c r="K15" i="4" s="1"/>
  <c r="E16" i="4"/>
  <c r="E17" i="4"/>
  <c r="E18" i="4"/>
  <c r="E19" i="4"/>
  <c r="E20" i="4"/>
  <c r="E21" i="4"/>
  <c r="E22" i="4"/>
  <c r="E23" i="4"/>
  <c r="E24" i="4"/>
  <c r="E25" i="4"/>
  <c r="E26" i="4"/>
  <c r="E27" i="4"/>
  <c r="J27" i="4"/>
  <c r="K27" i="4" s="1"/>
  <c r="J23" i="4"/>
  <c r="K23" i="4" s="1"/>
  <c r="J18" i="4"/>
  <c r="K18" i="4" s="1"/>
  <c r="J26" i="4"/>
  <c r="K26" i="4" s="1"/>
  <c r="J25" i="4"/>
  <c r="K25" i="4" s="1"/>
  <c r="J24" i="4"/>
  <c r="K24" i="4" s="1"/>
  <c r="J22" i="4"/>
  <c r="K22" i="4" s="1"/>
  <c r="J21" i="4"/>
  <c r="K21" i="4" s="1"/>
  <c r="J20" i="4"/>
  <c r="K20" i="4" s="1"/>
  <c r="J17" i="4"/>
  <c r="K17" i="4" s="1"/>
  <c r="J16" i="4"/>
  <c r="K16" i="4" s="1"/>
  <c r="I50" i="1"/>
  <c r="I45" i="1"/>
  <c r="I39" i="1"/>
  <c r="I60" i="1"/>
  <c r="K60" i="1" s="1"/>
  <c r="I59" i="1"/>
  <c r="K59" i="1" s="1"/>
  <c r="I58" i="1"/>
  <c r="K58" i="1" s="1"/>
  <c r="I57" i="1"/>
  <c r="K57" i="1" s="1"/>
  <c r="I56" i="1"/>
  <c r="K56" i="1" s="1"/>
  <c r="C52" i="1"/>
  <c r="C53" i="1" s="1"/>
  <c r="C54" i="1" s="1"/>
  <c r="C55" i="1" s="1"/>
  <c r="C56" i="1" s="1"/>
  <c r="N59" i="1" l="1"/>
  <c r="N60" i="1"/>
  <c r="N57" i="1"/>
  <c r="N58" i="1"/>
  <c r="N56" i="1"/>
  <c r="C57" i="1"/>
  <c r="D56" i="1"/>
  <c r="L56" i="1" l="1"/>
  <c r="O56" i="1"/>
  <c r="C58" i="1"/>
  <c r="D57" i="1"/>
  <c r="L57" i="1" l="1"/>
  <c r="O57" i="1"/>
  <c r="C59" i="1"/>
  <c r="D58" i="1"/>
  <c r="L58" i="1" l="1"/>
  <c r="O58" i="1"/>
  <c r="D59" i="1"/>
  <c r="C60" i="1"/>
  <c r="D60" i="1" s="1"/>
  <c r="L60" i="1" l="1"/>
  <c r="O60" i="1"/>
  <c r="L59" i="1"/>
  <c r="O59" i="1"/>
  <c r="J16" i="1" l="1"/>
  <c r="M16" i="1"/>
  <c r="M22" i="1"/>
  <c r="M27" i="1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2" i="3"/>
  <c r="K24" i="3"/>
  <c r="K25" i="3"/>
  <c r="K26" i="3"/>
  <c r="K27" i="3"/>
  <c r="K28" i="3"/>
  <c r="K29" i="3"/>
  <c r="K30" i="3"/>
  <c r="K31" i="3"/>
  <c r="K32" i="3"/>
  <c r="K33" i="3"/>
  <c r="D9" i="3"/>
  <c r="O9" i="3"/>
  <c r="D10" i="3"/>
  <c r="O10" i="3"/>
  <c r="O11" i="3"/>
  <c r="D12" i="3"/>
  <c r="O12" i="3"/>
  <c r="D13" i="3"/>
  <c r="O13" i="3"/>
  <c r="D14" i="3"/>
  <c r="O14" i="3"/>
  <c r="D15" i="3"/>
  <c r="N15" i="3"/>
  <c r="O15" i="3" s="1"/>
  <c r="D16" i="3"/>
  <c r="D17" i="3"/>
  <c r="D18" i="3"/>
  <c r="D19" i="3"/>
  <c r="D20" i="3"/>
  <c r="D21" i="3"/>
  <c r="D22" i="3"/>
  <c r="D24" i="3"/>
  <c r="D25" i="3"/>
  <c r="D26" i="3"/>
  <c r="D27" i="3"/>
  <c r="D28" i="3"/>
  <c r="D29" i="3"/>
  <c r="O29" i="3"/>
  <c r="D30" i="3"/>
  <c r="O30" i="3"/>
  <c r="D31" i="3"/>
  <c r="O31" i="3"/>
  <c r="D32" i="3"/>
  <c r="O32" i="3"/>
  <c r="D33" i="3"/>
  <c r="O33" i="3"/>
  <c r="D8" i="3"/>
  <c r="O8" i="3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  <c r="I55" i="1"/>
  <c r="I54" i="1"/>
  <c r="N54" i="1" s="1"/>
  <c r="K54" i="1"/>
  <c r="I53" i="1"/>
  <c r="D53" i="1"/>
  <c r="D54" i="1"/>
  <c r="D52" i="1"/>
  <c r="I52" i="1"/>
  <c r="N52" i="1" s="1"/>
  <c r="D47" i="1"/>
  <c r="I47" i="1"/>
  <c r="I41" i="1"/>
  <c r="F30" i="1"/>
  <c r="K30" i="1" s="1"/>
  <c r="F29" i="1"/>
  <c r="K29" i="1" s="1"/>
  <c r="F28" i="1"/>
  <c r="K28" i="1" s="1"/>
  <c r="F27" i="1"/>
  <c r="K27" i="1" s="1"/>
  <c r="L28" i="1"/>
  <c r="F22" i="1"/>
  <c r="K22" i="1" s="1"/>
  <c r="H5" i="1"/>
  <c r="F16" i="1"/>
  <c r="N16" i="3" l="1"/>
  <c r="O16" i="3" s="1"/>
  <c r="P8" i="3"/>
  <c r="R8" i="3" s="1"/>
  <c r="P32" i="3"/>
  <c r="R32" i="3" s="1"/>
  <c r="P10" i="3"/>
  <c r="R10" i="3" s="1"/>
  <c r="P9" i="3"/>
  <c r="R9" i="3" s="1"/>
  <c r="K41" i="1"/>
  <c r="N41" i="1"/>
  <c r="K55" i="1"/>
  <c r="N55" i="1"/>
  <c r="K47" i="1"/>
  <c r="L47" i="1" s="1"/>
  <c r="N47" i="1"/>
  <c r="O47" i="1" s="1"/>
  <c r="K52" i="1"/>
  <c r="L52" i="1" s="1"/>
  <c r="K53" i="1"/>
  <c r="L53" i="1" s="1"/>
  <c r="N53" i="1"/>
  <c r="O53" i="1" s="1"/>
  <c r="P33" i="3"/>
  <c r="R33" i="3" s="1"/>
  <c r="L54" i="1"/>
  <c r="O54" i="1"/>
  <c r="L41" i="1"/>
  <c r="D55" i="1"/>
  <c r="M28" i="1"/>
  <c r="N28" i="1" s="1"/>
  <c r="L29" i="1"/>
  <c r="M29" i="1" s="1"/>
  <c r="K16" i="1"/>
  <c r="N16" i="1" s="1"/>
  <c r="N22" i="1"/>
  <c r="N27" i="1"/>
  <c r="P11" i="3"/>
  <c r="R11" i="3" s="1"/>
  <c r="P29" i="3"/>
  <c r="R29" i="3" s="1"/>
  <c r="P14" i="3"/>
  <c r="R14" i="3" s="1"/>
  <c r="P13" i="3"/>
  <c r="R13" i="3" s="1"/>
  <c r="P16" i="3"/>
  <c r="R16" i="3" s="1"/>
  <c r="P15" i="3"/>
  <c r="R15" i="3" s="1"/>
  <c r="P12" i="3"/>
  <c r="R12" i="3" s="1"/>
  <c r="P31" i="3"/>
  <c r="R31" i="3" s="1"/>
  <c r="P30" i="3"/>
  <c r="R30" i="3" s="1"/>
  <c r="N17" i="3"/>
  <c r="L55" i="1" l="1"/>
  <c r="O55" i="1"/>
  <c r="N29" i="1"/>
  <c r="L30" i="1"/>
  <c r="N18" i="3"/>
  <c r="O17" i="3"/>
  <c r="P17" i="3" s="1"/>
  <c r="R17" i="3" s="1"/>
  <c r="M30" i="1" l="1"/>
  <c r="N30" i="1" s="1"/>
  <c r="O18" i="3"/>
  <c r="P18" i="3" s="1"/>
  <c r="R18" i="3" s="1"/>
  <c r="N19" i="3"/>
  <c r="N20" i="3" l="1"/>
  <c r="N22" i="3" s="1"/>
  <c r="O19" i="3"/>
  <c r="P19" i="3" s="1"/>
  <c r="R19" i="3" s="1"/>
  <c r="N24" i="3" l="1"/>
  <c r="N25" i="3" s="1"/>
  <c r="N26" i="3" s="1"/>
  <c r="N27" i="3" s="1"/>
  <c r="N23" i="3"/>
  <c r="O23" i="3" s="1"/>
  <c r="P23" i="3" s="1"/>
  <c r="R23" i="3" s="1"/>
  <c r="O20" i="3"/>
  <c r="P20" i="3" s="1"/>
  <c r="R20" i="3" s="1"/>
  <c r="N28" i="3" l="1"/>
  <c r="O28" i="3" s="1"/>
  <c r="P28" i="3" s="1"/>
  <c r="R28" i="3" s="1"/>
  <c r="O27" i="3"/>
  <c r="P27" i="3" s="1"/>
  <c r="R27" i="3" s="1"/>
  <c r="O22" i="3"/>
  <c r="P22" i="3" l="1"/>
  <c r="R22" i="3" s="1"/>
  <c r="O24" i="3" l="1"/>
  <c r="P24" i="3" s="1"/>
  <c r="R24" i="3" s="1"/>
  <c r="O25" i="3" l="1"/>
  <c r="P25" i="3" s="1"/>
  <c r="R25" i="3" s="1"/>
  <c r="O26" i="3"/>
  <c r="P26" i="3" s="1"/>
  <c r="R26" i="3" s="1"/>
</calcChain>
</file>

<file path=xl/sharedStrings.xml><?xml version="1.0" encoding="utf-8"?>
<sst xmlns="http://schemas.openxmlformats.org/spreadsheetml/2006/main" count="492" uniqueCount="203">
  <si>
    <t>Local Scantling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</si>
  <si>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</si>
  <si>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</si>
  <si>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</si>
  <si>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</si>
  <si>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</si>
  <si>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</si>
  <si>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</si>
  <si>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</si>
  <si>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</si>
  <si>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</si>
  <si>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</si>
  <si>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</si>
  <si>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</si>
  <si>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Loading :</t>
    <phoneticPr fontId="1" type="noConversion"/>
  </si>
  <si>
    <t>N</t>
    <phoneticPr fontId="1" type="noConversion"/>
  </si>
  <si>
    <t>Static Loadings</t>
    <phoneticPr fontId="1" type="noConversion"/>
  </si>
  <si>
    <t>O</t>
    <phoneticPr fontId="1" type="noConversion"/>
  </si>
  <si>
    <t>P</t>
    <phoneticPr fontId="1" type="noConversion"/>
  </si>
  <si>
    <t>Static Loadings</t>
  </si>
  <si>
    <t>Q</t>
    <phoneticPr fontId="1" type="noConversion"/>
  </si>
  <si>
    <t>m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</si>
  <si>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</si>
  <si>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</si>
  <si>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</si>
  <si>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U</t>
    <phoneticPr fontId="1" type="noConversion"/>
  </si>
  <si>
    <t>V</t>
    <phoneticPr fontId="1" type="noConversion"/>
  </si>
  <si>
    <t>W</t>
    <phoneticPr fontId="1" type="noConversion"/>
  </si>
  <si>
    <t>X</t>
    <phoneticPr fontId="1" type="noConversion"/>
  </si>
  <si>
    <t>Y</t>
    <phoneticPr fontId="1" type="noConversion"/>
  </si>
  <si>
    <t>Z</t>
    <phoneticPr fontId="1" type="noConversion"/>
  </si>
  <si>
    <t>h</t>
    <phoneticPr fontId="1" type="noConversion"/>
  </si>
  <si>
    <t>pd</t>
    <phoneticPr fontId="1" type="noConversion"/>
  </si>
  <si>
    <t>Maximum Tank Pressure</t>
    <phoneticPr fontId="1" type="noConversion"/>
  </si>
  <si>
    <t>r</t>
    <phoneticPr fontId="1" type="noConversion"/>
  </si>
  <si>
    <t>g0</t>
    <phoneticPr fontId="1" type="noConversion"/>
  </si>
  <si>
    <t>hmax</t>
    <phoneticPr fontId="1" type="noConversion"/>
  </si>
  <si>
    <t>g</t>
    <phoneticPr fontId="1" type="noConversion"/>
  </si>
  <si>
    <t>Plating</t>
    <phoneticPr fontId="1" type="noConversion"/>
  </si>
  <si>
    <t>Bottom Plating</t>
    <phoneticPr fontId="1" type="noConversion"/>
  </si>
  <si>
    <t>ka</t>
    <phoneticPr fontId="1" type="noConversion"/>
  </si>
  <si>
    <t>s</t>
    <phoneticPr fontId="1" type="noConversion"/>
  </si>
  <si>
    <t>kpp</t>
    <phoneticPr fontId="1" type="noConversion"/>
  </si>
  <si>
    <t>fy</t>
    <phoneticPr fontId="1" type="noConversion"/>
  </si>
  <si>
    <r>
      <t>g</t>
    </r>
    <r>
      <rPr>
        <vertAlign val="subscript"/>
        <sz val="11"/>
        <color theme="1"/>
        <rFont val="Arial"/>
        <family val="2"/>
      </rPr>
      <t>m</t>
    </r>
    <phoneticPr fontId="1" type="noConversion"/>
  </si>
  <si>
    <t>fyd</t>
    <phoneticPr fontId="1" type="noConversion"/>
  </si>
  <si>
    <t>t</t>
    <phoneticPr fontId="1" type="noConversion"/>
  </si>
  <si>
    <t>Deck Plating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</si>
  <si>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</si>
  <si>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</si>
  <si>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</si>
  <si>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e</t>
    <phoneticPr fontId="1" type="noConversion"/>
  </si>
  <si>
    <t>f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</si>
  <si>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</si>
  <si>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</si>
  <si>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</si>
  <si>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</si>
  <si>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n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</si>
  <si>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</si>
  <si>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</si>
  <si>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</si>
  <si>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u</t>
    <phoneticPr fontId="1" type="noConversion"/>
  </si>
  <si>
    <t>v</t>
    <phoneticPr fontId="1" type="noConversion"/>
  </si>
  <si>
    <t>w</t>
    <phoneticPr fontId="1" type="noConversion"/>
  </si>
  <si>
    <t>x</t>
    <phoneticPr fontId="1" type="noConversion"/>
  </si>
  <si>
    <t>y</t>
    <phoneticPr fontId="1" type="noConversion"/>
  </si>
  <si>
    <t>z</t>
    <phoneticPr fontId="1" type="noConversion"/>
  </si>
  <si>
    <t>d</t>
    <phoneticPr fontId="1" type="noConversion"/>
  </si>
  <si>
    <t>Ext. Shell Plating</t>
    <phoneticPr fontId="1" type="noConversion"/>
  </si>
  <si>
    <t>Stiffeners</t>
    <phoneticPr fontId="1" type="noConversion"/>
  </si>
  <si>
    <t>minimum Zs =</t>
    <phoneticPr fontId="1" type="noConversion"/>
  </si>
  <si>
    <r>
      <t>(mm</t>
    </r>
    <r>
      <rPr>
        <vertAlign val="superscript"/>
        <sz val="11"/>
        <color theme="1"/>
        <rFont val="맑은 고딕"/>
        <family val="3"/>
        <charset val="129"/>
        <scheme val="minor"/>
      </rPr>
      <t>3</t>
    </r>
    <r>
      <rPr>
        <sz val="11"/>
        <color theme="1"/>
        <rFont val="맑은 고딕"/>
        <family val="2"/>
        <charset val="129"/>
        <scheme val="minor"/>
      </rPr>
      <t>)</t>
    </r>
    <phoneticPr fontId="1" type="noConversion"/>
  </si>
  <si>
    <t>Bottom Stiffeners</t>
    <phoneticPr fontId="1" type="noConversion"/>
  </si>
  <si>
    <t>kps</t>
    <phoneticPr fontId="1" type="noConversion"/>
  </si>
  <si>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Arial"/>
        <family val="2"/>
      </rPr>
      <t>pd2</t>
    </r>
    <phoneticPr fontId="1" type="noConversion"/>
  </si>
  <si>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Arial"/>
        <family val="2"/>
      </rPr>
      <t>jd</t>
    </r>
    <phoneticPr fontId="1" type="noConversion"/>
  </si>
  <si>
    <t>km</t>
    <phoneticPr fontId="1" type="noConversion"/>
  </si>
  <si>
    <t>Deck Stiffeners</t>
    <phoneticPr fontId="1" type="noConversion"/>
  </si>
  <si>
    <t>STR</t>
    <phoneticPr fontId="1" type="noConversion"/>
  </si>
  <si>
    <t>type</t>
    <phoneticPr fontId="1" type="noConversion"/>
  </si>
  <si>
    <t>a0</t>
    <phoneticPr fontId="1" type="noConversion"/>
  </si>
  <si>
    <t>aact</t>
    <phoneticPr fontId="1" type="noConversion"/>
  </si>
  <si>
    <t>Stiff. Size</t>
    <phoneticPr fontId="1" type="noConversion"/>
  </si>
  <si>
    <t>250x90x10/15</t>
    <phoneticPr fontId="1" type="noConversion"/>
  </si>
  <si>
    <t>250x90x12/16</t>
    <phoneticPr fontId="1" type="noConversion"/>
  </si>
  <si>
    <t>scallop</t>
    <phoneticPr fontId="1" type="noConversion"/>
  </si>
  <si>
    <t>120X12</t>
    <phoneticPr fontId="1" type="noConversion"/>
  </si>
  <si>
    <r>
      <t>15*10</t>
    </r>
    <r>
      <rPr>
        <vertAlign val="superscript"/>
        <sz val="11"/>
        <color theme="1"/>
        <rFont val="맑은 고딕"/>
        <family val="3"/>
        <charset val="129"/>
        <scheme val="minor"/>
      </rPr>
      <t>3</t>
    </r>
    <phoneticPr fontId="1" type="noConversion"/>
  </si>
  <si>
    <r>
      <t>g</t>
    </r>
    <r>
      <rPr>
        <sz val="11"/>
        <color theme="1"/>
        <rFont val="Arial"/>
        <family val="2"/>
      </rPr>
      <t>f,</t>
    </r>
    <r>
      <rPr>
        <vertAlign val="subscript"/>
        <sz val="11"/>
        <color theme="1"/>
        <rFont val="Arial"/>
        <family val="2"/>
      </rPr>
      <t>GQ</t>
    </r>
    <phoneticPr fontId="1" type="noConversion"/>
  </si>
  <si>
    <t>s (m)</t>
    <phoneticPr fontId="1" type="noConversion"/>
  </si>
  <si>
    <t>fy(MPa)</t>
    <phoneticPr fontId="1" type="noConversion"/>
  </si>
  <si>
    <t>fyd(MPa)</t>
    <phoneticPr fontId="1" type="noConversion"/>
  </si>
  <si>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Arial"/>
        <family val="2"/>
      </rPr>
      <t>pd1</t>
    </r>
    <r>
      <rPr>
        <sz val="11"/>
        <color theme="1"/>
        <rFont val="맑은 고딕"/>
        <family val="2"/>
        <charset val="129"/>
        <scheme val="minor"/>
      </rPr>
      <t>(MPa)</t>
    </r>
    <phoneticPr fontId="1" type="noConversion"/>
  </si>
  <si>
    <t>h(m)</t>
    <phoneticPr fontId="1" type="noConversion"/>
  </si>
  <si>
    <t>pd(kN/m2)</t>
    <phoneticPr fontId="1" type="noConversion"/>
  </si>
  <si>
    <r>
      <rPr>
        <sz val="11"/>
        <color theme="0" tint="-0.14999847407452621"/>
        <rFont val="Symbol"/>
        <family val="1"/>
        <charset val="2"/>
      </rPr>
      <t>s</t>
    </r>
    <r>
      <rPr>
        <vertAlign val="subscript"/>
        <sz val="11"/>
        <color theme="0" tint="-0.14999847407452621"/>
        <rFont val="Arial"/>
        <family val="2"/>
      </rPr>
      <t>x</t>
    </r>
    <r>
      <rPr>
        <sz val="11"/>
        <color theme="0" tint="-0.14999847407452621"/>
        <rFont val="맑은 고딕"/>
        <family val="1"/>
        <charset val="2"/>
      </rPr>
      <t>(MPa)</t>
    </r>
    <phoneticPr fontId="1" type="noConversion"/>
  </si>
  <si>
    <r>
      <rPr>
        <sz val="11"/>
        <color theme="0" tint="-0.14999847407452621"/>
        <rFont val="Symbol"/>
        <family val="1"/>
        <charset val="2"/>
      </rPr>
      <t>s</t>
    </r>
    <r>
      <rPr>
        <vertAlign val="subscript"/>
        <sz val="11"/>
        <color theme="0" tint="-0.14999847407452621"/>
        <rFont val="Arial"/>
        <family val="2"/>
      </rPr>
      <t>y</t>
    </r>
    <r>
      <rPr>
        <sz val="11"/>
        <color theme="0" tint="-0.14999847407452621"/>
        <rFont val="맑은 고딕"/>
        <family val="1"/>
        <charset val="2"/>
      </rPr>
      <t>(MPa)</t>
    </r>
    <phoneticPr fontId="1" type="noConversion"/>
  </si>
  <si>
    <r>
      <rPr>
        <sz val="11"/>
        <color theme="0" tint="-0.14999847407452621"/>
        <rFont val="Symbol"/>
        <family val="1"/>
        <charset val="2"/>
      </rPr>
      <t>s</t>
    </r>
    <r>
      <rPr>
        <vertAlign val="subscript"/>
        <sz val="11"/>
        <color theme="0" tint="-0.14999847407452621"/>
        <rFont val="Arial"/>
        <family val="2"/>
      </rPr>
      <t>jd</t>
    </r>
    <r>
      <rPr>
        <sz val="11"/>
        <color theme="0" tint="-0.14999847407452621"/>
        <rFont val="맑은 고딕"/>
        <family val="1"/>
        <charset val="2"/>
      </rPr>
      <t>(MPa)</t>
    </r>
    <phoneticPr fontId="1" type="noConversion"/>
  </si>
  <si>
    <r>
      <t>t</t>
    </r>
    <r>
      <rPr>
        <sz val="11"/>
        <color theme="0" tint="-0.14999847407452621"/>
        <rFont val="Arial"/>
        <family val="2"/>
      </rPr>
      <t>(MPa)</t>
    </r>
    <phoneticPr fontId="1" type="noConversion"/>
  </si>
  <si>
    <t>l (m)</t>
    <phoneticPr fontId="1" type="noConversion"/>
  </si>
  <si>
    <t>h (m)</t>
    <phoneticPr fontId="1" type="noConversion"/>
  </si>
  <si>
    <t>Zs (cm3)</t>
    <phoneticPr fontId="1" type="noConversion"/>
  </si>
  <si>
    <t>250 x 90 x 12/16 I.A</t>
    <phoneticPr fontId="1" type="noConversion"/>
  </si>
  <si>
    <t>300 x 90 x 11/16 I.A</t>
    <phoneticPr fontId="1" type="noConversion"/>
  </si>
  <si>
    <t>Z =</t>
    <phoneticPr fontId="1" type="noConversion"/>
  </si>
  <si>
    <r>
      <t>cm</t>
    </r>
    <r>
      <rPr>
        <vertAlign val="superscript"/>
        <sz val="11"/>
        <color theme="1"/>
        <rFont val="맑은 고딕"/>
        <family val="3"/>
        <charset val="129"/>
        <scheme val="minor"/>
      </rPr>
      <t>3</t>
    </r>
    <phoneticPr fontId="1" type="noConversion"/>
  </si>
  <si>
    <t>250 x 90 x 10/15 I.A</t>
    <phoneticPr fontId="1" type="noConversion"/>
  </si>
  <si>
    <t>Ext. Shell Plating Stiffeners</t>
    <phoneticPr fontId="1" type="noConversion"/>
  </si>
  <si>
    <t>(ref. 200x90x9/14 I.A, Z=335)</t>
    <phoneticPr fontId="1" type="noConversion"/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</si>
  <si>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Arial"/>
        <family val="2"/>
      </rPr>
      <t>pds</t>
    </r>
    <phoneticPr fontId="1" type="noConversion"/>
  </si>
  <si>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Arial"/>
        <family val="2"/>
      </rPr>
      <t>xd</t>
    </r>
    <phoneticPr fontId="1" type="noConversion"/>
  </si>
  <si>
    <t>As</t>
    <phoneticPr fontId="1" type="noConversion"/>
  </si>
  <si>
    <t>As =</t>
    <phoneticPr fontId="1" type="noConversion"/>
  </si>
  <si>
    <t>Girder or Trans. Web</t>
    <phoneticPr fontId="1" type="noConversion"/>
  </si>
  <si>
    <t xml:space="preserve">NV NS </t>
  </si>
  <si>
    <t>High strength steels</t>
    <phoneticPr fontId="1" type="noConversion"/>
  </si>
  <si>
    <t>NV 27S</t>
  </si>
  <si>
    <t>NV 32</t>
  </si>
  <si>
    <t>NV 36</t>
  </si>
  <si>
    <t>NV 40</t>
  </si>
  <si>
    <t xml:space="preserve">Strength group </t>
  </si>
  <si>
    <t xml:space="preserve">Designation </t>
  </si>
  <si>
    <t>Base metal</t>
    <phoneticPr fontId="1" type="noConversion"/>
  </si>
  <si>
    <t>weld deposit</t>
    <phoneticPr fontId="1" type="noConversion"/>
  </si>
  <si>
    <t>Strength Ratio</t>
    <phoneticPr fontId="1" type="noConversion"/>
  </si>
  <si>
    <t xml:space="preserve">Weld metal
(fw) </t>
    <phoneticPr fontId="1" type="noConversion"/>
  </si>
  <si>
    <t>Base metal/weld metal
(fr)</t>
    <phoneticPr fontId="1" type="noConversion"/>
  </si>
  <si>
    <t>Base Plate</t>
    <phoneticPr fontId="1" type="noConversion"/>
  </si>
  <si>
    <t>Abutting Plate</t>
    <phoneticPr fontId="1" type="noConversion"/>
  </si>
  <si>
    <t>Bottom Plate</t>
    <phoneticPr fontId="1" type="noConversion"/>
  </si>
  <si>
    <t>Side Shell</t>
    <phoneticPr fontId="1" type="noConversion"/>
  </si>
  <si>
    <t xml:space="preserve">Full penetration </t>
    <phoneticPr fontId="1" type="noConversion"/>
  </si>
  <si>
    <t>Description</t>
    <phoneticPr fontId="1" type="noConversion"/>
  </si>
  <si>
    <t>Thickness</t>
    <phoneticPr fontId="1" type="noConversion"/>
  </si>
  <si>
    <t>Welding deposit</t>
    <phoneticPr fontId="1" type="noConversion"/>
  </si>
  <si>
    <t>designation</t>
    <phoneticPr fontId="1" type="noConversion"/>
  </si>
  <si>
    <t>yield stress</t>
    <phoneticPr fontId="1" type="noConversion"/>
  </si>
  <si>
    <t>fr</t>
    <phoneticPr fontId="1" type="noConversion"/>
  </si>
  <si>
    <t>Deck Plate</t>
    <phoneticPr fontId="1" type="noConversion"/>
  </si>
  <si>
    <t>Side Stiff.</t>
    <phoneticPr fontId="1" type="noConversion"/>
  </si>
  <si>
    <t>Trans. Web</t>
    <phoneticPr fontId="1" type="noConversion"/>
  </si>
  <si>
    <t>BTM Stiff.</t>
    <phoneticPr fontId="1" type="noConversion"/>
  </si>
  <si>
    <t>Stringer</t>
    <phoneticPr fontId="1" type="noConversion"/>
  </si>
  <si>
    <t>throat thick.</t>
    <phoneticPr fontId="1" type="noConversion"/>
  </si>
  <si>
    <t>leg length</t>
    <phoneticPr fontId="1" type="noConversion"/>
  </si>
  <si>
    <r>
      <t xml:space="preserve">Yield stress, </t>
    </r>
    <r>
      <rPr>
        <sz val="11"/>
        <color rgb="FF000000"/>
        <rFont val="Verdana-Italic"/>
        <family val="2"/>
        <charset val="161"/>
      </rPr>
      <t>σ</t>
    </r>
    <r>
      <rPr>
        <sz val="11"/>
        <color rgb="FF000000"/>
        <rFont val="Cambria-Italic"/>
        <family val="2"/>
      </rPr>
      <t xml:space="preserve">fw </t>
    </r>
    <r>
      <rPr>
        <sz val="11"/>
        <color rgb="FF000000"/>
        <rFont val="Verdana-Italic"/>
        <family val="2"/>
      </rPr>
      <t>(N/mm2)</t>
    </r>
    <phoneticPr fontId="1" type="noConversion"/>
  </si>
  <si>
    <t xml:space="preserve">Normal strength steels </t>
    <phoneticPr fontId="1" type="noConversion"/>
  </si>
  <si>
    <t>Deck Stiff.</t>
    <phoneticPr fontId="1" type="noConversion"/>
  </si>
  <si>
    <t>Trans. BHD</t>
    <phoneticPr fontId="1" type="noConversion"/>
  </si>
  <si>
    <t>round</t>
    <phoneticPr fontId="1" type="noConversion"/>
  </si>
  <si>
    <t>C.LGirders</t>
    <phoneticPr fontId="1" type="noConversion"/>
  </si>
  <si>
    <t>Corro. Add</t>
    <phoneticPr fontId="1" type="noConversion"/>
  </si>
  <si>
    <t>500x12</t>
    <phoneticPr fontId="1" type="noConversion"/>
  </si>
  <si>
    <t>500X12</t>
    <phoneticPr fontId="1" type="noConversion"/>
  </si>
  <si>
    <t>v. stiff</t>
    <phoneticPr fontId="1" type="noConversion"/>
  </si>
  <si>
    <t>A2S</t>
    <phoneticPr fontId="1" type="noConversion"/>
  </si>
  <si>
    <t>B2S</t>
    <phoneticPr fontId="1" type="noConversion"/>
  </si>
  <si>
    <t>B1</t>
    <phoneticPr fontId="1" type="noConversion"/>
  </si>
  <si>
    <r>
      <t>g</t>
    </r>
    <r>
      <rPr>
        <vertAlign val="subscript"/>
        <sz val="9"/>
        <color theme="1"/>
        <rFont val="Arial"/>
        <family val="2"/>
      </rPr>
      <t>m</t>
    </r>
    <phoneticPr fontId="1" type="noConversion"/>
  </si>
  <si>
    <t>S. No.</t>
    <phoneticPr fontId="1" type="noConversion"/>
  </si>
  <si>
    <t>Eval.</t>
    <phoneticPr fontId="1" type="noConversion"/>
  </si>
  <si>
    <t>hw</t>
    <phoneticPr fontId="1" type="noConversion"/>
  </si>
  <si>
    <t>tweb</t>
    <phoneticPr fontId="1" type="noConversion"/>
  </si>
  <si>
    <t>test2</t>
    <phoneticPr fontId="1" type="noConversion"/>
  </si>
  <si>
    <t>Offshore Structure</t>
    <phoneticPr fontId="1" type="noConversion"/>
  </si>
  <si>
    <t>Description :</t>
    <phoneticPr fontId="1" type="noConversion"/>
  </si>
  <si>
    <t>Water Head</t>
    <phoneticPr fontId="1" type="noConversion"/>
  </si>
  <si>
    <t>Design Pressure</t>
    <phoneticPr fontId="1" type="noConversion"/>
  </si>
  <si>
    <t>f1 =</t>
    <phoneticPr fontId="1" type="noConversion"/>
  </si>
  <si>
    <t>Material</t>
    <phoneticPr fontId="1" type="noConversion"/>
  </si>
  <si>
    <t>NV-NS</t>
    <phoneticPr fontId="1" type="noConversion"/>
  </si>
  <si>
    <t>NV-27</t>
    <phoneticPr fontId="1" type="noConversion"/>
  </si>
  <si>
    <t>NV-32</t>
    <phoneticPr fontId="1" type="noConversion"/>
  </si>
  <si>
    <t>NV-36</t>
  </si>
  <si>
    <t>NV-36</t>
    <phoneticPr fontId="1" type="noConversion"/>
  </si>
  <si>
    <t>NV-40</t>
    <phoneticPr fontId="1" type="noConversion"/>
  </si>
  <si>
    <t xml:space="preserve">kpp = </t>
    <phoneticPr fontId="1" type="noConversion"/>
  </si>
  <si>
    <t>ka =</t>
    <phoneticPr fontId="1" type="noConversion"/>
  </si>
  <si>
    <t>span =</t>
    <phoneticPr fontId="1" type="noConversion"/>
  </si>
  <si>
    <t>space =</t>
    <phoneticPr fontId="1" type="noConversion"/>
  </si>
  <si>
    <t>Allowable Stress</t>
    <phoneticPr fontId="1" type="noConversion"/>
  </si>
  <si>
    <t>Bottom Shell-1</t>
    <phoneticPr fontId="1" type="noConversion"/>
  </si>
  <si>
    <r>
      <t>g</t>
    </r>
    <r>
      <rPr>
        <sz val="9"/>
        <color theme="1"/>
        <rFont val="Arial"/>
        <family val="2"/>
      </rPr>
      <t>f,</t>
    </r>
    <r>
      <rPr>
        <vertAlign val="subscript"/>
        <sz val="9"/>
        <color theme="1"/>
        <rFont val="Arial"/>
        <family val="2"/>
      </rPr>
      <t>GQ</t>
    </r>
    <phoneticPr fontId="1" type="noConversion"/>
  </si>
  <si>
    <r>
      <t>kN/m</t>
    </r>
    <r>
      <rPr>
        <vertAlign val="superscript"/>
        <sz val="9"/>
        <color theme="1"/>
        <rFont val="맑은 고딕"/>
        <family val="3"/>
        <charset val="129"/>
        <scheme val="minor"/>
      </rPr>
      <t>2</t>
    </r>
    <phoneticPr fontId="1" type="noConversion"/>
  </si>
  <si>
    <r>
      <t>N/mm</t>
    </r>
    <r>
      <rPr>
        <vertAlign val="superscript"/>
        <sz val="9"/>
        <color theme="1"/>
        <rFont val="맑은 고딕"/>
        <family val="3"/>
        <charset val="129"/>
        <scheme val="minor"/>
      </rPr>
      <t>2</t>
    </r>
    <phoneticPr fontId="1" type="noConversion"/>
  </si>
  <si>
    <r>
      <rPr>
        <sz val="9"/>
        <color theme="1"/>
        <rFont val="Symbol"/>
        <family val="1"/>
        <charset val="2"/>
      </rPr>
      <t>g</t>
    </r>
    <r>
      <rPr>
        <sz val="9"/>
        <color theme="1"/>
        <rFont val="맑은 고딕"/>
        <family val="2"/>
        <charset val="129"/>
        <scheme val="minor"/>
      </rPr>
      <t>m</t>
    </r>
    <phoneticPr fontId="1" type="noConversion"/>
  </si>
  <si>
    <t xml:space="preserve">kps= </t>
    <phoneticPr fontId="1" type="noConversion"/>
  </si>
  <si>
    <t>kps /</t>
    <phoneticPr fontId="1" type="noConversion"/>
  </si>
  <si>
    <t>km /</t>
    <phoneticPr fontId="1" type="noConversion"/>
  </si>
  <si>
    <t>km =</t>
    <phoneticPr fontId="1" type="noConversion"/>
  </si>
  <si>
    <t>Mat /</t>
    <phoneticPr fontId="1" type="noConversion"/>
  </si>
  <si>
    <t>fy /</t>
    <phoneticPr fontId="1" type="noConversion"/>
  </si>
  <si>
    <t>g,m /</t>
    <phoneticPr fontId="1" type="noConversion"/>
  </si>
  <si>
    <t>sig,pd1 /</t>
    <phoneticPr fontId="1" type="noConversion"/>
  </si>
  <si>
    <t>gf,GQ /</t>
    <phoneticPr fontId="1" type="noConversion"/>
  </si>
  <si>
    <t>pd /</t>
    <phoneticPr fontId="1" type="noConversion"/>
  </si>
  <si>
    <t>space/</t>
    <phoneticPr fontId="1" type="noConversion"/>
  </si>
  <si>
    <t>span/</t>
    <phoneticPr fontId="1" type="noConversion"/>
  </si>
  <si>
    <t>treq /</t>
    <phoneticPr fontId="1" type="noConversion"/>
  </si>
  <si>
    <t xml:space="preserve">Zs / </t>
    <phoneticPr fontId="1" type="noConversion"/>
  </si>
  <si>
    <t>As /</t>
    <phoneticPr fontId="1" type="noConversion"/>
  </si>
  <si>
    <t>Zs /</t>
    <phoneticPr fontId="1" type="noConversion"/>
  </si>
  <si>
    <t>Ashear /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</si>
</sst>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76" formatCode="0.0"/>
    <numFmt numFmtId="177" formatCode="0.000"/>
  </numFmts>
  <fonts count="3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Symbol"/>
      <family val="1"/>
      <charset val="2"/>
    </font>
    <font>
      <sz val="11"/>
      <color theme="1"/>
      <name val="맑은 고딕"/>
      <family val="1"/>
      <charset val="2"/>
    </font>
    <font>
      <u/>
      <sz val="11"/>
      <color theme="1"/>
      <name val="맑은 고딕"/>
      <family val="2"/>
      <charset val="129"/>
      <scheme val="minor"/>
    </font>
    <font>
      <b/>
      <i/>
      <sz val="16"/>
      <color theme="1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vertAlign val="subscript"/>
      <sz val="11"/>
      <color theme="1"/>
      <name val="Arial"/>
      <family val="2"/>
    </font>
    <font>
      <sz val="11"/>
      <color theme="1"/>
      <name val="맑은 고딕"/>
      <family val="3"/>
      <charset val="129"/>
      <scheme val="minor"/>
    </font>
    <font>
      <b/>
      <i/>
      <u/>
      <sz val="11"/>
      <color theme="1"/>
      <name val="맑은 고딕"/>
      <family val="3"/>
      <charset val="129"/>
      <scheme val="minor"/>
    </font>
    <font>
      <vertAlign val="superscript"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theme="1"/>
      <name val="Arial"/>
      <family val="2"/>
    </font>
    <font>
      <sz val="11"/>
      <color theme="0" tint="-0.14999847407452621"/>
      <name val="맑은 고딕"/>
      <family val="1"/>
      <charset val="2"/>
    </font>
    <font>
      <sz val="11"/>
      <color theme="0" tint="-0.14999847407452621"/>
      <name val="Symbol"/>
      <family val="1"/>
      <charset val="2"/>
    </font>
    <font>
      <vertAlign val="subscript"/>
      <sz val="11"/>
      <color theme="0" tint="-0.14999847407452621"/>
      <name val="Arial"/>
      <family val="2"/>
    </font>
    <font>
      <sz val="11"/>
      <color theme="0" tint="-0.14999847407452621"/>
      <name val="맑은 고딕"/>
      <family val="2"/>
      <charset val="129"/>
      <scheme val="minor"/>
    </font>
    <font>
      <sz val="11"/>
      <color theme="1"/>
      <name val="맑은 고딕"/>
      <family val="1"/>
      <charset val="2"/>
      <scheme val="minor"/>
    </font>
    <font>
      <sz val="11"/>
      <color theme="0" tint="-0.14999847407452621"/>
      <name val="Arial"/>
      <family val="2"/>
    </font>
    <font>
      <sz val="8"/>
      <color rgb="FF000000"/>
      <name val="Verdana"/>
      <family val="2"/>
    </font>
    <font>
      <sz val="11"/>
      <color theme="1"/>
      <name val="맑은 고딕"/>
      <family val="2"/>
      <charset val="129"/>
      <scheme val="minor"/>
    </font>
    <font>
      <sz val="11"/>
      <color rgb="FF000000"/>
      <name val="Verdana"/>
      <family val="2"/>
    </font>
    <font>
      <sz val="11"/>
      <color rgb="FF000000"/>
      <name val="Verdana-Italic"/>
      <family val="2"/>
    </font>
    <font>
      <sz val="11"/>
      <color rgb="FF000000"/>
      <name val="Verdana-Italic"/>
      <family val="2"/>
      <charset val="161"/>
    </font>
    <font>
      <sz val="11"/>
      <color rgb="FF000000"/>
      <name val="Cambria-Italic"/>
      <family val="2"/>
    </font>
    <font>
      <sz val="9"/>
      <color theme="1"/>
      <name val="맑은 고딕"/>
      <family val="2"/>
      <charset val="129"/>
      <scheme val="minor"/>
    </font>
    <font>
      <sz val="9"/>
      <color theme="1"/>
      <name val="Symbol"/>
      <family val="1"/>
      <charset val="2"/>
    </font>
    <font>
      <vertAlign val="subscript"/>
      <sz val="9"/>
      <color theme="1"/>
      <name val="Arial"/>
      <family val="2"/>
    </font>
    <font>
      <sz val="9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9"/>
      <color theme="1"/>
      <name val="Arial"/>
      <family val="2"/>
    </font>
    <font>
      <vertAlign val="superscript"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1"/>
      <charset val="2"/>
      <scheme val="minor"/>
    </font>
    <font>
      <sz val="8"/>
      <color rgb="FF00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43" fontId="20" fillId="0" borderId="0" applyFont="0" applyFill="0" applyBorder="0" applyAlignment="0" applyProtection="0">
      <alignment vertical="center"/>
    </xf>
  </cellStyleXfs>
  <cellXfs count="94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2" fillId="0" borderId="1" xfId="0" applyFont="1" applyBorder="1" applyAlignment="1">
      <alignment horizontal="center" vertical="center"/>
    </xf>
    <xf numFmtId="0" fontId="6" fillId="0" borderId="0" xfId="0" applyFont="1">
      <alignment vertical="center"/>
    </xf>
    <xf numFmtId="0" fontId="0" fillId="0" borderId="1" xfId="0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3" fillId="0" borderId="1" xfId="0" quotePrefix="1" applyFon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11" fillId="0" borderId="0" xfId="0" applyFont="1">
      <alignment vertical="center"/>
    </xf>
    <xf numFmtId="0" fontId="13" fillId="2" borderId="1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176" fontId="16" fillId="2" borderId="1" xfId="0" applyNumberFormat="1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>
      <alignment vertical="center"/>
    </xf>
    <xf numFmtId="1" fontId="0" fillId="0" borderId="1" xfId="0" applyNumberFormat="1" applyBorder="1">
      <alignment vertical="center"/>
    </xf>
    <xf numFmtId="0" fontId="19" fillId="0" borderId="0" xfId="0" applyFont="1" applyAlignment="1">
      <alignment vertical="center" wrapText="1"/>
    </xf>
    <xf numFmtId="0" fontId="21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vertical="center" wrapText="1"/>
    </xf>
    <xf numFmtId="0" fontId="22" fillId="0" borderId="1" xfId="0" applyFont="1" applyBorder="1" applyAlignment="1">
      <alignment horizontal="center" vertical="center" wrapText="1"/>
    </xf>
    <xf numFmtId="43" fontId="0" fillId="0" borderId="0" xfId="1" applyFo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3" xfId="0" applyBorder="1" applyAlignment="1">
      <alignment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177" fontId="25" fillId="0" borderId="1" xfId="0" applyNumberFormat="1" applyFont="1" applyBorder="1" applyAlignment="1">
      <alignment horizontal="center" vertical="center"/>
    </xf>
    <xf numFmtId="1" fontId="25" fillId="0" borderId="1" xfId="0" applyNumberFormat="1" applyFont="1" applyBorder="1" applyAlignment="1">
      <alignment horizontal="center" vertical="center"/>
    </xf>
    <xf numFmtId="176" fontId="25" fillId="0" borderId="1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11" fillId="3" borderId="0" xfId="0" applyFont="1" applyFill="1">
      <alignment vertical="center"/>
    </xf>
    <xf numFmtId="2" fontId="0" fillId="0" borderId="0" xfId="0" applyNumberFormat="1">
      <alignment vertical="center"/>
    </xf>
    <xf numFmtId="0" fontId="28" fillId="5" borderId="9" xfId="0" applyFont="1" applyFill="1" applyBorder="1">
      <alignment vertical="center"/>
    </xf>
    <xf numFmtId="0" fontId="11" fillId="3" borderId="0" xfId="0" applyFont="1" applyFill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9" fillId="5" borderId="8" xfId="0" applyFont="1" applyFill="1" applyBorder="1" applyAlignment="1">
      <alignment horizontal="center" vertical="center"/>
    </xf>
    <xf numFmtId="0" fontId="29" fillId="5" borderId="9" xfId="0" applyFont="1" applyFill="1" applyBorder="1">
      <alignment vertical="center"/>
    </xf>
    <xf numFmtId="0" fontId="29" fillId="5" borderId="10" xfId="0" applyFont="1" applyFill="1" applyBorder="1">
      <alignment vertical="center"/>
    </xf>
    <xf numFmtId="0" fontId="29" fillId="5" borderId="14" xfId="0" applyFont="1" applyFill="1" applyBorder="1" applyAlignment="1">
      <alignment horizontal="center" vertical="center"/>
    </xf>
    <xf numFmtId="0" fontId="29" fillId="5" borderId="0" xfId="0" applyFont="1" applyFill="1" applyAlignment="1">
      <alignment horizontal="center" vertical="center"/>
    </xf>
    <xf numFmtId="0" fontId="29" fillId="5" borderId="0" xfId="0" applyFont="1" applyFill="1" applyAlignment="1">
      <alignment horizontal="center" vertical="center" wrapText="1"/>
    </xf>
    <xf numFmtId="0" fontId="30" fillId="5" borderId="0" xfId="0" applyFont="1" applyFill="1" applyAlignment="1">
      <alignment horizontal="center" vertical="center"/>
    </xf>
    <xf numFmtId="0" fontId="29" fillId="5" borderId="15" xfId="0" applyFont="1" applyFill="1" applyBorder="1" applyAlignment="1">
      <alignment horizontal="center" vertical="center"/>
    </xf>
    <xf numFmtId="0" fontId="29" fillId="5" borderId="11" xfId="0" applyFont="1" applyFill="1" applyBorder="1" applyAlignment="1">
      <alignment horizontal="center" vertical="center"/>
    </xf>
    <xf numFmtId="0" fontId="29" fillId="5" borderId="12" xfId="0" applyFont="1" applyFill="1" applyBorder="1" applyAlignment="1">
      <alignment horizontal="center" vertical="center"/>
    </xf>
    <xf numFmtId="1" fontId="29" fillId="5" borderId="12" xfId="0" applyNumberFormat="1" applyFont="1" applyFill="1" applyBorder="1" applyAlignment="1">
      <alignment horizontal="center" vertical="center"/>
    </xf>
    <xf numFmtId="177" fontId="29" fillId="5" borderId="12" xfId="0" applyNumberFormat="1" applyFont="1" applyFill="1" applyBorder="1" applyAlignment="1">
      <alignment horizontal="center" vertical="center"/>
    </xf>
    <xf numFmtId="176" fontId="29" fillId="5" borderId="12" xfId="0" applyNumberFormat="1" applyFont="1" applyFill="1" applyBorder="1" applyAlignment="1">
      <alignment horizontal="center" vertical="center"/>
    </xf>
    <xf numFmtId="176" fontId="29" fillId="5" borderId="13" xfId="0" applyNumberFormat="1" applyFont="1" applyFill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25" fillId="3" borderId="0" xfId="0" applyFont="1" applyFill="1">
      <alignment vertical="center"/>
    </xf>
    <xf numFmtId="0" fontId="28" fillId="3" borderId="0" xfId="0" applyFont="1" applyFill="1">
      <alignment vertical="center"/>
    </xf>
    <xf numFmtId="0" fontId="28" fillId="3" borderId="0" xfId="0" applyFont="1" applyFill="1" applyAlignment="1">
      <alignment horizontal="center" vertical="center"/>
    </xf>
    <xf numFmtId="0" fontId="26" fillId="3" borderId="0" xfId="0" applyFont="1" applyFill="1" applyAlignment="1">
      <alignment horizontal="center" vertical="center"/>
    </xf>
    <xf numFmtId="176" fontId="25" fillId="3" borderId="0" xfId="0" applyNumberFormat="1" applyFont="1" applyFill="1" applyAlignment="1">
      <alignment horizontal="center" vertical="center"/>
    </xf>
    <xf numFmtId="1" fontId="25" fillId="3" borderId="0" xfId="0" applyNumberFormat="1" applyFont="1" applyFill="1" applyAlignment="1">
      <alignment horizontal="center" vertical="center"/>
    </xf>
    <xf numFmtId="0" fontId="33" fillId="3" borderId="0" xfId="0" applyFont="1" applyFill="1">
      <alignment vertical="center"/>
    </xf>
    <xf numFmtId="176" fontId="28" fillId="3" borderId="0" xfId="0" applyNumberFormat="1" applyFont="1" applyFill="1" applyAlignment="1">
      <alignment horizontal="center" vertical="center"/>
    </xf>
    <xf numFmtId="176" fontId="28" fillId="3" borderId="0" xfId="0" applyNumberFormat="1" applyFont="1" applyFill="1">
      <alignment vertical="center"/>
    </xf>
    <xf numFmtId="0" fontId="25" fillId="4" borderId="1" xfId="0" applyFont="1" applyFill="1" applyBorder="1" applyAlignment="1">
      <alignment horizontal="center" vertical="center"/>
    </xf>
    <xf numFmtId="0" fontId="25" fillId="5" borderId="0" xfId="0" applyFont="1" applyFill="1">
      <alignment vertical="center"/>
    </xf>
    <xf numFmtId="177" fontId="28" fillId="5" borderId="0" xfId="0" applyNumberFormat="1" applyFont="1" applyFill="1">
      <alignment vertical="center"/>
    </xf>
    <xf numFmtId="0" fontId="28" fillId="5" borderId="0" xfId="0" applyFont="1" applyFill="1">
      <alignment vertical="center"/>
    </xf>
    <xf numFmtId="0" fontId="0" fillId="3" borderId="0" xfId="0" applyFill="1" applyAlignment="1">
      <alignment horizontal="center" vertical="center"/>
    </xf>
    <xf numFmtId="0" fontId="11" fillId="4" borderId="0" xfId="0" applyFont="1" applyFill="1">
      <alignment vertical="center"/>
    </xf>
    <xf numFmtId="0" fontId="0" fillId="0" borderId="1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</cellXfs>
  <cellStyles count="2">
    <cellStyle name="쉼표" xfId="1" builtinId="3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221769</xdr:colOff>
      <xdr:row>8</xdr:row>
      <xdr:rowOff>104053</xdr:rowOff>
    </xdr:from>
    <xdr:to>
      <xdr:col>3</xdr:col>
      <xdr:colOff>76989</xdr:colOff>
      <xdr:row>11</xdr:row>
      <xdr:rowOff>23626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69" y="1969639"/>
          <a:ext cx="1873206" cy="581725"/>
        </a:xfrm>
        <a:prstGeom prst="rect">
          <a:avLst/>
        </a:prstGeom>
      </xdr:spPr>
    </xdr:pic>
    <xdr:clientData/>
  </xdr:twoCellAnchor>
  <xdr:oneCellAnchor>
    <xdr:from>
      <xdr:col>0</xdr:col>
      <xdr:colOff>49924</xdr:colOff>
      <xdr:row>5</xdr:row>
      <xdr:rowOff>55180</xdr:rowOff>
    </xdr:from>
    <xdr:ext cx="173098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49924" y="1258614"/>
              <a:ext cx="17309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ko-KR" altLang="en-US" sz="1100" i="0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ko-KR" altLang="en-US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𝜌</m:t>
                        </m:r>
                        <m:r>
                          <a:rPr lang="ko-KR" altLang="en-US" sz="1100" i="0">
                            <a:latin typeface="Cambria Math" panose="02040503050406030204" pitchFamily="18" charset="0"/>
                          </a:rPr>
                          <m:t>⋅</m:t>
                        </m:r>
                        <m:sSub>
                          <m:sSubPr>
                            <m:ctrlPr>
                              <a:rPr lang="ko-KR" altLang="en-US" sz="11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ko-KR" altLang="en-US" sz="110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</m:e>
                          <m:sub>
                            <m: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  <m:r>
                          <a:rPr lang="ko-KR" altLang="en-US" sz="1100" i="0">
                            <a:latin typeface="Cambria Math" panose="02040503050406030204" pitchFamily="18" charset="0"/>
                          </a:rPr>
                          <m:t>⋅</m:t>
                        </m:r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h</m:t>
                        </m:r>
                        <m:func>
                          <m:funcPr>
                            <m:ctrlPr>
                              <a:rPr lang="ko-KR" altLang="en-US" sz="1100" i="1"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max</m:t>
                            </m:r>
                          </m:fName>
                          <m:e>
                            <m: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+25</m:t>
                            </m:r>
                          </m:e>
                        </m:func>
                      </m:e>
                    </m:d>
                    <m:r>
                      <a:rPr lang="ko-KR" altLang="en-US" sz="1100" i="1">
                        <a:latin typeface="Cambria Math" panose="02040503050406030204" pitchFamily="18" charset="0"/>
                      </a:rPr>
                      <m:t>∙</m:t>
                    </m:r>
                    <m:r>
                      <m:rPr>
                        <m:sty m:val="p"/>
                      </m:rPr>
                      <a:rPr lang="el-GR" altLang="ko-K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γ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6B2EB8DF-E837-92D1-C7EA-397107E29C67}"/>
                </a:ext>
              </a:extLst>
            </xdr:cNvPr>
            <xdr:cNvSpPr txBox="1"/>
          </xdr:nvSpPr>
          <xdr:spPr>
            <a:xfrm>
              <a:off x="49924" y="1258614"/>
              <a:ext cx="17309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ko-KR" altLang="en-US" sz="1100" i="0">
                  <a:latin typeface="Cambria Math" panose="02040503050406030204" pitchFamily="18" charset="0"/>
                </a:rPr>
                <a:t>𝑃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𝑑=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ko-KR" altLang="en-US" sz="1100" i="0">
                  <a:latin typeface="Cambria Math" panose="02040503050406030204" pitchFamily="18" charset="0"/>
                </a:rPr>
                <a:t>𝜌⋅𝑔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0⋅ℎ max⁡〖+25〗 )∙</a:t>
              </a:r>
              <a:r>
                <a:rPr lang="el-GR" altLang="ko-K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γ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0</xdr:col>
      <xdr:colOff>193471</xdr:colOff>
      <xdr:row>33</xdr:row>
      <xdr:rowOff>63477</xdr:rowOff>
    </xdr:from>
    <xdr:ext cx="1872721" cy="3014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93471" y="7317131"/>
              <a:ext cx="1872721" cy="3014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ko-KR" altLang="en-US" sz="1100" i="1">
                          <a:solidFill>
                            <a:srgbClr val="836967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ko-KR" altLang="en-US" sz="1100" i="1">
                          <a:latin typeface="Cambria Math" panose="02040503050406030204" pitchFamily="18" charset="0"/>
                        </a:rPr>
                        <m:t>𝑧</m:t>
                      </m:r>
                    </m:e>
                    <m:sub>
                      <m:r>
                        <a:rPr lang="ko-KR" altLang="en-US" sz="1100" i="1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  <m:r>
                    <a:rPr lang="ko-KR" altLang="en-US" sz="1100" i="0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ko-KR" altLang="en-US" sz="1100" i="1">
                          <a:solidFill>
                            <a:srgbClr val="836967"/>
                          </a:solidFill>
                          <a:latin typeface="Cambria Math" panose="02040503050406030204" pitchFamily="18" charset="0"/>
                        </a:rPr>
                      </m:ctrlPr>
                    </m:fPr>
                    <m:num>
                      <m:sSup>
                        <m:sSupPr>
                          <m:ctrlPr>
                            <a:rPr lang="ko-KR" altLang="en-US" sz="1100" i="1">
                              <a:solidFill>
                                <a:srgbClr val="836967"/>
                              </a:solidFill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m:rPr>
                              <m:sty m:val="p"/>
                            </m:rPr>
                            <a:rPr lang="en-US" altLang="ko-KR" sz="1100" b="0" i="0">
                              <a:solidFill>
                                <a:srgbClr val="836967"/>
                              </a:solidFill>
                              <a:latin typeface="Cambria Math" panose="02040503050406030204" pitchFamily="18" charset="0"/>
                            </a:rPr>
                            <m:t>l</m:t>
                          </m:r>
                        </m:e>
                        <m:sup>
                          <m:r>
                            <a:rPr lang="ko-KR" altLang="en-US" sz="1100" i="0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  <m:r>
                        <a:rPr lang="ko-KR" altLang="en-US" sz="1100" i="1">
                          <a:latin typeface="Cambria Math" panose="02040503050406030204" pitchFamily="18" charset="0"/>
                        </a:rPr>
                        <m:t>∙</m:t>
                      </m:r>
                      <m:r>
                        <a:rPr lang="en-US" altLang="ko-KR" sz="1100" b="0" i="1">
                          <a:latin typeface="Cambria Math" panose="02040503050406030204" pitchFamily="18" charset="0"/>
                        </a:rPr>
                        <m:t>𝑠</m:t>
                      </m:r>
                      <m:r>
                        <a:rPr lang="en-US" altLang="ko-KR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∙</m:t>
                      </m:r>
                      <m:sSub>
                        <m:sSubPr>
                          <m:ctrlPr>
                            <a:rPr lang="en-US" altLang="ko-KR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altLang="ko-KR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𝑝</m:t>
                          </m:r>
                        </m:e>
                        <m:sub>
                          <m:r>
                            <a:rPr lang="en-US" altLang="ko-KR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𝑑</m:t>
                          </m:r>
                        </m:sub>
                      </m:sSub>
                    </m:num>
                    <m:den>
                      <m:func>
                        <m:funcPr>
                          <m:ctrlPr>
                            <a:rPr lang="ko-KR" altLang="en-US" sz="1100" i="1">
                              <a:latin typeface="Cambria Math" panose="02040503050406030204" pitchFamily="18" charset="0"/>
                            </a:rPr>
                          </m:ctrlPr>
                        </m:funcPr>
                        <m:fName>
                          <m:r>
                            <m:rPr>
                              <m:sty m:val="p"/>
                            </m:rPr>
                            <a:rPr lang="ko-KR" altLang="en-US" sz="1100" i="0">
                              <a:latin typeface="Cambria Math" panose="02040503050406030204" pitchFamily="18" charset="0"/>
                            </a:rPr>
                            <m:t>k</m:t>
                          </m:r>
                          <m:r>
                            <m:rPr>
                              <m:sty m:val="p"/>
                            </m:rPr>
                            <a:rPr lang="en-US" altLang="ko-KR" sz="1100" b="0" i="0">
                              <a:latin typeface="Cambria Math" panose="02040503050406030204" pitchFamily="18" charset="0"/>
                            </a:rPr>
                            <m:t>m</m:t>
                          </m:r>
                          <m:r>
                            <a:rPr lang="en-US" altLang="ko-KR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∙</m:t>
                          </m:r>
                        </m:fName>
                        <m:e>
                          <m:sSup>
                            <m:sSupPr>
                              <m:ctrlPr>
                                <a:rPr lang="en-US" altLang="ko-KR" sz="1100" i="1">
                                  <a:latin typeface="Cambria Math" panose="02040503050406030204" pitchFamily="18" charset="0"/>
                                </a:rPr>
                              </m:ctrlPr>
                            </m:sSupPr>
                            <m:e>
                              <m:sSub>
                                <m:sSubPr>
                                  <m:ctrlPr>
                                    <a:rPr lang="ko-KR" alt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ko-KR" alt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𝜎</m:t>
                                  </m:r>
                                </m:e>
                                <m:sub>
                                  <m:r>
                                    <a:rPr lang="ko-KR" alt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𝑃</m:t>
                                  </m:r>
                                  <m:r>
                                    <a:rPr lang="en-US" altLang="ko-KR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𝑑</m:t>
                                  </m:r>
                                </m:sub>
                              </m:sSub>
                            </m:e>
                            <m:sup>
                              <m:r>
                                <a:rPr lang="en-US" altLang="ko-KR" sz="1100" b="0" i="1">
                                  <a:latin typeface="Cambria Math" panose="02040503050406030204" pitchFamily="18" charset="0"/>
                                </a:rPr>
                                <m:t>2</m:t>
                              </m:r>
                            </m:sup>
                          </m:sSup>
                        </m:e>
                      </m:func>
                      <m:r>
                        <a:rPr lang="ko-KR" altLang="en-US" sz="1100" i="0">
                          <a:latin typeface="Cambria Math" panose="02040503050406030204" pitchFamily="18" charset="0"/>
                        </a:rPr>
                        <m:t>⋅</m:t>
                      </m:r>
                      <m:sSub>
                        <m:sSubPr>
                          <m:ctrlPr>
                            <a:rPr lang="ko-KR" altLang="en-US" sz="1100" i="1">
                              <a:solidFill>
                                <a:srgbClr val="836967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ko-KR" altLang="en-US" sz="1100" i="1">
                              <a:latin typeface="Cambria Math" panose="02040503050406030204" pitchFamily="18" charset="0"/>
                            </a:rPr>
                            <m:t>𝑘</m:t>
                          </m:r>
                        </m:e>
                        <m:sub>
                          <m:r>
                            <a:rPr lang="ko-KR" altLang="en-US" sz="1100" i="1">
                              <a:latin typeface="Cambria Math" panose="02040503050406030204" pitchFamily="18" charset="0"/>
                            </a:rPr>
                            <m:t>𝑝</m:t>
                          </m:r>
                          <m:r>
                            <a:rPr lang="en-US" altLang="ko-KR" sz="1100" b="0" i="1">
                              <a:latin typeface="Cambria Math" panose="02040503050406030204" pitchFamily="18" charset="0"/>
                            </a:rPr>
                            <m:t>𝑠</m:t>
                          </m:r>
                        </m:sub>
                      </m:sSub>
                    </m:den>
                  </m:f>
                  <m:sSup>
                    <m:sSupPr>
                      <m:ctrlPr>
                        <a:rPr lang="en-US" altLang="ko-KR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altLang="ko-K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10</m:t>
                      </m:r>
                    </m:e>
                    <m:sup>
                      <m:r>
                        <a:rPr lang="en-US" altLang="ko-K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6</m:t>
                      </m:r>
                    </m:sup>
                  </m:sSup>
                </m:oMath>
              </a14:m>
              <a:r>
                <a:rPr lang="en-US" altLang="ko-KR" sz="1100"/>
                <a:t>(mm</a:t>
              </a:r>
              <a:r>
                <a:rPr lang="en-US" altLang="ko-KR" sz="1100" baseline="30000"/>
                <a:t>3</a:t>
              </a:r>
              <a:r>
                <a:rPr lang="en-US" altLang="ko-KR" sz="1100"/>
                <a:t>)</a:t>
              </a:r>
              <a:endParaRPr lang="ko-KR" alt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9B3F0385-8A26-1A9C-5F37-8236613155F9}"/>
                </a:ext>
              </a:extLst>
            </xdr:cNvPr>
            <xdr:cNvSpPr txBox="1"/>
          </xdr:nvSpPr>
          <xdr:spPr>
            <a:xfrm>
              <a:off x="193471" y="7317131"/>
              <a:ext cx="1872721" cy="3014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ko-KR" altLang="en-US" sz="1100" i="0">
                  <a:latin typeface="Cambria Math" panose="02040503050406030204" pitchFamily="18" charset="0"/>
                </a:rPr>
                <a:t>𝑧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𝑠=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1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l</a:t>
              </a:r>
              <a:r>
                <a:rPr lang="ko-KR" altLang="en-US" sz="11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^</a:t>
              </a:r>
              <a:r>
                <a:rPr lang="ko-KR" altLang="en-US" sz="1100" i="0">
                  <a:latin typeface="Cambria Math" panose="02040503050406030204" pitchFamily="18" charset="0"/>
                </a:rPr>
                <a:t>2∙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𝑠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∙𝑝_𝑑</a:t>
              </a:r>
              <a:r>
                <a:rPr lang="ko-KR" altLang="en-US" sz="11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)/(〖</a:t>
              </a:r>
              <a:r>
                <a:rPr lang="ko-KR" altLang="en-US" sz="1100" i="0">
                  <a:latin typeface="Cambria Math" panose="02040503050406030204" pitchFamily="18" charset="0"/>
                </a:rPr>
                <a:t>k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m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ko-KR" alt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〗⁡〖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ko-KR" alt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𝜎_𝑃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𝑑〗^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2 </a:t>
              </a:r>
              <a:r>
                <a:rPr lang="ko-KR" altLang="en-US" sz="1100" b="0" i="0">
                  <a:latin typeface="Cambria Math" panose="02040503050406030204" pitchFamily="18" charset="0"/>
                </a:rPr>
                <a:t>〗</a:t>
              </a:r>
              <a:r>
                <a:rPr lang="ko-KR" altLang="en-US" sz="1100" i="0">
                  <a:latin typeface="Cambria Math" panose="02040503050406030204" pitchFamily="18" charset="0"/>
                </a:rPr>
                <a:t>⋅𝑘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𝑝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𝑠 </a:t>
              </a:r>
              <a:r>
                <a:rPr lang="ko-KR" altLang="en-US" sz="11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10^6</a:t>
              </a:r>
              <a:r>
                <a:rPr lang="en-US" altLang="ko-KR" sz="1100"/>
                <a:t>(mm</a:t>
              </a:r>
              <a:r>
                <a:rPr lang="en-US" altLang="ko-KR" sz="1100" baseline="30000"/>
                <a:t>3</a:t>
              </a:r>
              <a:r>
                <a:rPr lang="en-US" altLang="ko-KR" sz="1100"/>
                <a:t>)</a:t>
              </a:r>
              <a:endParaRPr lang="ko-KR" altLang="en-US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131884</xdr:colOff>
      <xdr:row>12</xdr:row>
      <xdr:rowOff>0</xdr:rowOff>
    </xdr:from>
    <xdr:to>
      <xdr:col>10</xdr:col>
      <xdr:colOff>190500</xdr:colOff>
      <xdr:row>15</xdr:row>
      <xdr:rowOff>4604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70788" y="1846385"/>
          <a:ext cx="1575289" cy="466200"/>
        </a:xfrm>
        <a:prstGeom prst="rect">
          <a:avLst/>
        </a:prstGeom>
      </xdr:spPr>
    </xdr:pic>
    <xdr:clientData/>
  </xdr:twoCellAnchor>
  <xdr:oneCellAnchor>
    <xdr:from>
      <xdr:col>7</xdr:col>
      <xdr:colOff>43961</xdr:colOff>
      <xdr:row>8</xdr:row>
      <xdr:rowOff>135504</xdr:rowOff>
    </xdr:from>
    <xdr:ext cx="173098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3582865" y="1366427"/>
              <a:ext cx="17309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ko-KR" altLang="en-US" sz="1100" i="0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ko-KR" altLang="en-US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𝜌</m:t>
                        </m:r>
                        <m:r>
                          <a:rPr lang="ko-KR" altLang="en-US" sz="1100" i="0">
                            <a:latin typeface="Cambria Math" panose="02040503050406030204" pitchFamily="18" charset="0"/>
                          </a:rPr>
                          <m:t>⋅</m:t>
                        </m:r>
                        <m:sSub>
                          <m:sSubPr>
                            <m:ctrlPr>
                              <a:rPr lang="ko-KR" altLang="en-US" sz="11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ko-KR" altLang="en-US" sz="110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</m:e>
                          <m:sub>
                            <m: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  <m:r>
                          <a:rPr lang="ko-KR" altLang="en-US" sz="1100" i="0">
                            <a:latin typeface="Cambria Math" panose="02040503050406030204" pitchFamily="18" charset="0"/>
                          </a:rPr>
                          <m:t>⋅</m:t>
                        </m:r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h</m:t>
                        </m:r>
                        <m:func>
                          <m:funcPr>
                            <m:ctrlPr>
                              <a:rPr lang="ko-KR" altLang="en-US" sz="1100" i="1"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max</m:t>
                            </m:r>
                          </m:fName>
                          <m:e>
                            <m: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+25</m:t>
                            </m:r>
                          </m:e>
                        </m:func>
                      </m:e>
                    </m:d>
                    <m:r>
                      <a:rPr lang="ko-KR" altLang="en-US" sz="1100" i="1">
                        <a:latin typeface="Cambria Math" panose="02040503050406030204" pitchFamily="18" charset="0"/>
                      </a:rPr>
                      <m:t>∙</m:t>
                    </m:r>
                    <m:r>
                      <m:rPr>
                        <m:sty m:val="p"/>
                      </m:rPr>
                      <a:rPr lang="el-GR" altLang="ko-K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γ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A41CAE7-AB34-4BA8-AD01-0E6BC42C0060}"/>
                </a:ext>
              </a:extLst>
            </xdr:cNvPr>
            <xdr:cNvSpPr txBox="1"/>
          </xdr:nvSpPr>
          <xdr:spPr>
            <a:xfrm>
              <a:off x="3582865" y="1366427"/>
              <a:ext cx="17309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100" i="0">
                  <a:latin typeface="Cambria Math" panose="02040503050406030204" pitchFamily="18" charset="0"/>
                </a:rPr>
                <a:t>𝑃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𝑑=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ko-KR" altLang="en-US" sz="1100" i="0">
                  <a:latin typeface="Cambria Math" panose="02040503050406030204" pitchFamily="18" charset="0"/>
                </a:rPr>
                <a:t>𝜌⋅𝑔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0⋅ℎ max⁡〖+25〗 )∙</a:t>
              </a:r>
              <a:r>
                <a:rPr lang="el-GR" altLang="ko-K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γ</a:t>
              </a:r>
              <a:endParaRPr lang="ko-KR" altLang="en-US" sz="1100"/>
            </a:p>
          </xdr:txBody>
        </xdr:sp>
      </mc:Fallback>
    </mc:AlternateContent>
    <xdr:clientData/>
  </xdr:oneCellAnchor>
  <xdr:twoCellAnchor>
    <xdr:from>
      <xdr:col>0</xdr:col>
      <xdr:colOff>0</xdr:colOff>
      <xdr:row>0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0" y="0"/>
          <a:ext cx="2022231" cy="769327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505557</xdr:colOff>
      <xdr:row>0</xdr:row>
      <xdr:rowOff>1</xdr:rowOff>
    </xdr:from>
    <xdr:to>
      <xdr:col>11</xdr:col>
      <xdr:colOff>505556</xdr:colOff>
      <xdr:row>3</xdr:row>
      <xdr:rowOff>0</xdr:rowOff>
    </xdr:to>
    <xdr:sp macro="" textlink="Front!E1">
      <xdr:nvSpPr>
        <xdr:cNvPr id="7" name="직사각형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2022230" y="1"/>
          <a:ext cx="4044461" cy="461595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310298</xdr:colOff>
      <xdr:row>5</xdr:row>
      <xdr:rowOff>109515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1826971" cy="878842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</xdr:row>
      <xdr:rowOff>1</xdr:rowOff>
    </xdr:from>
    <xdr:to>
      <xdr:col>12</xdr:col>
      <xdr:colOff>0</xdr:colOff>
      <xdr:row>5</xdr:row>
      <xdr:rowOff>0</xdr:rowOff>
    </xdr:to>
    <xdr:sp macro="" textlink="">
      <xdr:nvSpPr>
        <xdr:cNvPr id="10" name="직사각형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022231" y="461597"/>
          <a:ext cx="4044461" cy="307730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8</xdr:col>
          <xdr:colOff>0</xdr:colOff>
          <xdr:row>20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20</xdr:row>
          <xdr:rowOff>0</xdr:rowOff>
        </xdr:from>
        <xdr:to>
          <xdr:col>11</xdr:col>
          <xdr:colOff>0</xdr:colOff>
          <xdr:row>21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504825</xdr:colOff>
          <xdr:row>20</xdr:row>
          <xdr:rowOff>0</xdr:rowOff>
        </xdr:from>
        <xdr:to>
          <xdr:col>12</xdr:col>
          <xdr:colOff>0</xdr:colOff>
          <xdr:row>21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43961</xdr:colOff>
      <xdr:row>8</xdr:row>
      <xdr:rowOff>135504</xdr:rowOff>
    </xdr:from>
    <xdr:ext cx="173098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3577736" y="1354704"/>
              <a:ext cx="17309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ko-KR" altLang="en-US" sz="1100" i="0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ko-KR" altLang="en-US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𝜌</m:t>
                        </m:r>
                        <m:r>
                          <a:rPr lang="ko-KR" altLang="en-US" sz="1100" i="0">
                            <a:latin typeface="Cambria Math" panose="02040503050406030204" pitchFamily="18" charset="0"/>
                          </a:rPr>
                          <m:t>⋅</m:t>
                        </m:r>
                        <m:sSub>
                          <m:sSubPr>
                            <m:ctrlPr>
                              <a:rPr lang="ko-KR" altLang="en-US" sz="11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ko-KR" altLang="en-US" sz="110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</m:e>
                          <m:sub>
                            <m: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  <m:r>
                          <a:rPr lang="ko-KR" altLang="en-US" sz="1100" i="0">
                            <a:latin typeface="Cambria Math" panose="02040503050406030204" pitchFamily="18" charset="0"/>
                          </a:rPr>
                          <m:t>⋅</m:t>
                        </m:r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h</m:t>
                        </m:r>
                        <m:func>
                          <m:funcPr>
                            <m:ctrlPr>
                              <a:rPr lang="ko-KR" altLang="en-US" sz="1100" i="1"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max</m:t>
                            </m:r>
                          </m:fName>
                          <m:e>
                            <m: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+25</m:t>
                            </m:r>
                          </m:e>
                        </m:func>
                      </m:e>
                    </m:d>
                    <m:r>
                      <a:rPr lang="ko-KR" altLang="en-US" sz="1100" i="1">
                        <a:latin typeface="Cambria Math" panose="02040503050406030204" pitchFamily="18" charset="0"/>
                      </a:rPr>
                      <m:t>∙</m:t>
                    </m:r>
                    <m:r>
                      <m:rPr>
                        <m:sty m:val="p"/>
                      </m:rPr>
                      <a:rPr lang="el-GR" altLang="ko-K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γ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FE7810-ED55-4188-8440-72708001A643}"/>
                </a:ext>
              </a:extLst>
            </xdr:cNvPr>
            <xdr:cNvSpPr txBox="1"/>
          </xdr:nvSpPr>
          <xdr:spPr>
            <a:xfrm>
              <a:off x="3577736" y="1354704"/>
              <a:ext cx="17309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100" i="0">
                  <a:latin typeface="Cambria Math" panose="02040503050406030204" pitchFamily="18" charset="0"/>
                </a:rPr>
                <a:t>𝑃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𝑑=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ko-KR" altLang="en-US" sz="1100" i="0">
                  <a:latin typeface="Cambria Math" panose="02040503050406030204" pitchFamily="18" charset="0"/>
                </a:rPr>
                <a:t>𝜌⋅𝑔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0⋅ℎ max⁡〖+25〗 )∙</a:t>
              </a:r>
              <a:r>
                <a:rPr lang="el-GR" altLang="ko-K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γ</a:t>
              </a:r>
              <a:endParaRPr lang="ko-KR" altLang="en-US" sz="1100"/>
            </a:p>
          </xdr:txBody>
        </xdr:sp>
      </mc:Fallback>
    </mc:AlternateContent>
    <xdr:clientData/>
  </xdr:oneCellAnchor>
  <xdr:twoCellAnchor>
    <xdr:from>
      <xdr:col>0</xdr:col>
      <xdr:colOff>0</xdr:colOff>
      <xdr:row>0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0" y="0"/>
          <a:ext cx="20193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505557</xdr:colOff>
      <xdr:row>0</xdr:row>
      <xdr:rowOff>1</xdr:rowOff>
    </xdr:from>
    <xdr:to>
      <xdr:col>11</xdr:col>
      <xdr:colOff>505556</xdr:colOff>
      <xdr:row>3</xdr:row>
      <xdr:rowOff>0</xdr:rowOff>
    </xdr:to>
    <xdr:sp macro="" textlink="Front!E1">
      <xdr:nvSpPr>
        <xdr:cNvPr id="5" name="직사각형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020032" y="1"/>
          <a:ext cx="403859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310298</xdr:colOff>
      <xdr:row>5</xdr:row>
      <xdr:rowOff>109515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24773" cy="871515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</xdr:row>
      <xdr:rowOff>1</xdr:rowOff>
    </xdr:from>
    <xdr:to>
      <xdr:col>12</xdr:col>
      <xdr:colOff>0</xdr:colOff>
      <xdr:row>5</xdr:row>
      <xdr:rowOff>0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2019300" y="457201"/>
          <a:ext cx="403860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8</xdr:col>
          <xdr:colOff>0</xdr:colOff>
          <xdr:row>20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20</xdr:row>
          <xdr:rowOff>0</xdr:rowOff>
        </xdr:from>
        <xdr:to>
          <xdr:col>11</xdr:col>
          <xdr:colOff>0</xdr:colOff>
          <xdr:row>21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504825</xdr:colOff>
          <xdr:row>20</xdr:row>
          <xdr:rowOff>0</xdr:rowOff>
        </xdr:from>
        <xdr:to>
          <xdr:col>12</xdr:col>
          <xdr:colOff>0</xdr:colOff>
          <xdr:row>21</xdr:row>
          <xdr:rowOff>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95250</xdr:colOff>
      <xdr:row>11</xdr:row>
      <xdr:rowOff>29308</xdr:rowOff>
    </xdr:from>
    <xdr:ext cx="1872721" cy="30149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FB56B0A4-2567-4D12-AB96-26129363F600}"/>
                </a:ext>
              </a:extLst>
            </xdr:cNvPr>
            <xdr:cNvSpPr txBox="1"/>
          </xdr:nvSpPr>
          <xdr:spPr>
            <a:xfrm>
              <a:off x="3634154" y="1721827"/>
              <a:ext cx="1872721" cy="3014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ko-KR" altLang="en-US" sz="1100" i="1">
                          <a:solidFill>
                            <a:srgbClr val="836967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ko-KR" altLang="en-US" sz="1100" i="1">
                          <a:latin typeface="Cambria Math" panose="02040503050406030204" pitchFamily="18" charset="0"/>
                        </a:rPr>
                        <m:t>𝑧</m:t>
                      </m:r>
                    </m:e>
                    <m:sub>
                      <m:r>
                        <a:rPr lang="ko-KR" altLang="en-US" sz="1100" i="1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  <m:r>
                    <a:rPr lang="ko-KR" altLang="en-US" sz="1100" i="0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ko-KR" altLang="en-US" sz="1100" i="1">
                          <a:solidFill>
                            <a:srgbClr val="836967"/>
                          </a:solidFill>
                          <a:latin typeface="Cambria Math" panose="02040503050406030204" pitchFamily="18" charset="0"/>
                        </a:rPr>
                      </m:ctrlPr>
                    </m:fPr>
                    <m:num>
                      <m:sSup>
                        <m:sSupPr>
                          <m:ctrlPr>
                            <a:rPr lang="ko-KR" altLang="en-US" sz="1100" i="1">
                              <a:solidFill>
                                <a:srgbClr val="836967"/>
                              </a:solidFill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m:rPr>
                              <m:sty m:val="p"/>
                            </m:rPr>
                            <a:rPr lang="en-US" altLang="ko-KR" sz="1100" b="0" i="0">
                              <a:solidFill>
                                <a:srgbClr val="836967"/>
                              </a:solidFill>
                              <a:latin typeface="Cambria Math" panose="02040503050406030204" pitchFamily="18" charset="0"/>
                            </a:rPr>
                            <m:t>l</m:t>
                          </m:r>
                        </m:e>
                        <m:sup>
                          <m:r>
                            <a:rPr lang="ko-KR" altLang="en-US" sz="1100" i="0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  <m:r>
                        <a:rPr lang="ko-KR" altLang="en-US" sz="1100" i="1">
                          <a:latin typeface="Cambria Math" panose="02040503050406030204" pitchFamily="18" charset="0"/>
                        </a:rPr>
                        <m:t>∙</m:t>
                      </m:r>
                      <m:r>
                        <a:rPr lang="en-US" altLang="ko-KR" sz="1100" b="0" i="1">
                          <a:latin typeface="Cambria Math" panose="02040503050406030204" pitchFamily="18" charset="0"/>
                        </a:rPr>
                        <m:t>𝑠</m:t>
                      </m:r>
                      <m:r>
                        <a:rPr lang="en-US" altLang="ko-KR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∙</m:t>
                      </m:r>
                      <m:sSub>
                        <m:sSubPr>
                          <m:ctrlPr>
                            <a:rPr lang="en-US" altLang="ko-KR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altLang="ko-KR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𝑝</m:t>
                          </m:r>
                        </m:e>
                        <m:sub>
                          <m:r>
                            <a:rPr lang="en-US" altLang="ko-KR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𝑑</m:t>
                          </m:r>
                        </m:sub>
                      </m:sSub>
                    </m:num>
                    <m:den>
                      <m:func>
                        <m:funcPr>
                          <m:ctrlPr>
                            <a:rPr lang="ko-KR" altLang="en-US" sz="1100" i="1">
                              <a:latin typeface="Cambria Math" panose="02040503050406030204" pitchFamily="18" charset="0"/>
                            </a:rPr>
                          </m:ctrlPr>
                        </m:funcPr>
                        <m:fName>
                          <m:r>
                            <m:rPr>
                              <m:sty m:val="p"/>
                            </m:rPr>
                            <a:rPr lang="ko-KR" altLang="en-US" sz="1100" i="0">
                              <a:latin typeface="Cambria Math" panose="02040503050406030204" pitchFamily="18" charset="0"/>
                            </a:rPr>
                            <m:t>k</m:t>
                          </m:r>
                          <m:r>
                            <m:rPr>
                              <m:sty m:val="p"/>
                            </m:rPr>
                            <a:rPr lang="en-US" altLang="ko-KR" sz="1100" b="0" i="0">
                              <a:latin typeface="Cambria Math" panose="02040503050406030204" pitchFamily="18" charset="0"/>
                            </a:rPr>
                            <m:t>m</m:t>
                          </m:r>
                          <m:r>
                            <a:rPr lang="en-US" altLang="ko-KR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∙</m:t>
                          </m:r>
                        </m:fName>
                        <m:e>
                          <m:sSup>
                            <m:sSupPr>
                              <m:ctrlPr>
                                <a:rPr lang="en-US" altLang="ko-KR" sz="1100" i="1">
                                  <a:latin typeface="Cambria Math" panose="02040503050406030204" pitchFamily="18" charset="0"/>
                                </a:rPr>
                              </m:ctrlPr>
                            </m:sSupPr>
                            <m:e>
                              <m:sSub>
                                <m:sSubPr>
                                  <m:ctrlPr>
                                    <a:rPr lang="ko-KR" alt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ko-KR" alt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𝜎</m:t>
                                  </m:r>
                                </m:e>
                                <m:sub>
                                  <m:r>
                                    <a:rPr lang="ko-KR" alt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𝑃</m:t>
                                  </m:r>
                                  <m:r>
                                    <a:rPr lang="en-US" altLang="ko-KR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𝑑</m:t>
                                  </m:r>
                                </m:sub>
                              </m:sSub>
                            </m:e>
                            <m:sup>
                              <m:r>
                                <a:rPr lang="en-US" altLang="ko-KR" sz="1100" b="0" i="1">
                                  <a:latin typeface="Cambria Math" panose="02040503050406030204" pitchFamily="18" charset="0"/>
                                </a:rPr>
                                <m:t>2</m:t>
                              </m:r>
                            </m:sup>
                          </m:sSup>
                        </m:e>
                      </m:func>
                      <m:r>
                        <a:rPr lang="ko-KR" altLang="en-US" sz="1100" i="0">
                          <a:latin typeface="Cambria Math" panose="02040503050406030204" pitchFamily="18" charset="0"/>
                        </a:rPr>
                        <m:t>⋅</m:t>
                      </m:r>
                      <m:sSub>
                        <m:sSubPr>
                          <m:ctrlPr>
                            <a:rPr lang="ko-KR" altLang="en-US" sz="1100" i="1">
                              <a:solidFill>
                                <a:srgbClr val="836967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ko-KR" altLang="en-US" sz="1100" i="1">
                              <a:latin typeface="Cambria Math" panose="02040503050406030204" pitchFamily="18" charset="0"/>
                            </a:rPr>
                            <m:t>𝑘</m:t>
                          </m:r>
                        </m:e>
                        <m:sub>
                          <m:r>
                            <a:rPr lang="ko-KR" altLang="en-US" sz="1100" i="1">
                              <a:latin typeface="Cambria Math" panose="02040503050406030204" pitchFamily="18" charset="0"/>
                            </a:rPr>
                            <m:t>𝑝</m:t>
                          </m:r>
                          <m:r>
                            <a:rPr lang="en-US" altLang="ko-KR" sz="1100" b="0" i="1">
                              <a:latin typeface="Cambria Math" panose="02040503050406030204" pitchFamily="18" charset="0"/>
                            </a:rPr>
                            <m:t>𝑠</m:t>
                          </m:r>
                        </m:sub>
                      </m:sSub>
                    </m:den>
                  </m:f>
                  <m:sSup>
                    <m:sSupPr>
                      <m:ctrlPr>
                        <a:rPr lang="en-US" altLang="ko-KR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altLang="ko-K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10</m:t>
                      </m:r>
                    </m:e>
                    <m:sup>
                      <m:r>
                        <a:rPr lang="en-US" altLang="ko-K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6</m:t>
                      </m:r>
                    </m:sup>
                  </m:sSup>
                </m:oMath>
              </a14:m>
              <a:r>
                <a:rPr lang="en-US" altLang="ko-KR" sz="1100"/>
                <a:t>(mm</a:t>
              </a:r>
              <a:r>
                <a:rPr lang="en-US" altLang="ko-KR" sz="1100" baseline="30000"/>
                <a:t>3</a:t>
              </a:r>
              <a:r>
                <a:rPr lang="en-US" altLang="ko-KR" sz="1100"/>
                <a:t>)</a:t>
              </a:r>
              <a:endParaRPr lang="ko-KR" altLang="en-US" sz="1100"/>
            </a:p>
          </xdr:txBody>
        </xdr:sp>
      </mc:Choice>
      <mc:Fallback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FB56B0A4-2567-4D12-AB96-26129363F600}"/>
                </a:ext>
              </a:extLst>
            </xdr:cNvPr>
            <xdr:cNvSpPr txBox="1"/>
          </xdr:nvSpPr>
          <xdr:spPr>
            <a:xfrm>
              <a:off x="3634154" y="1721827"/>
              <a:ext cx="1872721" cy="3014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ko-KR" altLang="en-US" sz="1100" i="0">
                  <a:latin typeface="Cambria Math" panose="02040503050406030204" pitchFamily="18" charset="0"/>
                </a:rPr>
                <a:t>𝑧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𝑠=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1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l</a:t>
              </a:r>
              <a:r>
                <a:rPr lang="ko-KR" altLang="en-US" sz="11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^</a:t>
              </a:r>
              <a:r>
                <a:rPr lang="ko-KR" altLang="en-US" sz="1100" i="0">
                  <a:latin typeface="Cambria Math" panose="02040503050406030204" pitchFamily="18" charset="0"/>
                </a:rPr>
                <a:t>2∙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𝑠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∙𝑝_𝑑</a:t>
              </a:r>
              <a:r>
                <a:rPr lang="ko-KR" altLang="en-US" sz="11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)/(〖</a:t>
              </a:r>
              <a:r>
                <a:rPr lang="ko-KR" altLang="en-US" sz="1100" i="0">
                  <a:latin typeface="Cambria Math" panose="02040503050406030204" pitchFamily="18" charset="0"/>
                </a:rPr>
                <a:t>k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m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ko-KR" alt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〗⁡〖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ko-KR" alt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𝜎_𝑃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𝑑〗^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2 </a:t>
              </a:r>
              <a:r>
                <a:rPr lang="ko-KR" altLang="en-US" sz="1100" b="0" i="0">
                  <a:latin typeface="Cambria Math" panose="02040503050406030204" pitchFamily="18" charset="0"/>
                </a:rPr>
                <a:t>〗</a:t>
              </a:r>
              <a:r>
                <a:rPr lang="ko-KR" altLang="en-US" sz="1100" i="0">
                  <a:latin typeface="Cambria Math" panose="02040503050406030204" pitchFamily="18" charset="0"/>
                </a:rPr>
                <a:t>⋅𝑘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𝑝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𝑠 </a:t>
              </a:r>
              <a:r>
                <a:rPr lang="ko-KR" altLang="en-US" sz="11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10^6</a:t>
              </a:r>
              <a:r>
                <a:rPr lang="en-US" altLang="ko-KR" sz="1100"/>
                <a:t>(mm</a:t>
              </a:r>
              <a:r>
                <a:rPr lang="en-US" altLang="ko-KR" sz="1100" baseline="30000"/>
                <a:t>3</a:t>
              </a:r>
              <a:r>
                <a:rPr lang="en-US" altLang="ko-KR" sz="1100"/>
                <a:t>)</a:t>
              </a:r>
              <a:endParaRPr lang="ko-KR" altLang="en-US" sz="110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2</xdr:row>
      <xdr:rowOff>1</xdr:rowOff>
    </xdr:from>
    <xdr:to>
      <xdr:col>8</xdr:col>
      <xdr:colOff>594360</xdr:colOff>
      <xdr:row>2</xdr:row>
      <xdr:rowOff>628575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74180" y="441961"/>
          <a:ext cx="1562100" cy="62857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10</xdr:col>
      <xdr:colOff>106680</xdr:colOff>
      <xdr:row>4</xdr:row>
      <xdr:rowOff>194114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74180" y="1143000"/>
          <a:ext cx="3009900" cy="719894"/>
        </a:xfrm>
        <a:prstGeom prst="rect">
          <a:avLst/>
        </a:prstGeom>
      </xdr:spPr>
    </xdr:pic>
    <xdr:clientData/>
  </xdr:twoCellAnchor>
  <xdr:twoCellAnchor editAs="oneCell">
    <xdr:from>
      <xdr:col>1</xdr:col>
      <xdr:colOff>68580</xdr:colOff>
      <xdr:row>9</xdr:row>
      <xdr:rowOff>30481</xdr:rowOff>
    </xdr:from>
    <xdr:to>
      <xdr:col>5</xdr:col>
      <xdr:colOff>251460</xdr:colOff>
      <xdr:row>10</xdr:row>
      <xdr:rowOff>210051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36320" y="2804161"/>
          <a:ext cx="4053840" cy="4005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265182</xdr:colOff>
      <xdr:row>3</xdr:row>
      <xdr:rowOff>169984</xdr:rowOff>
    </xdr:from>
    <xdr:to>
      <xdr:col>9</xdr:col>
      <xdr:colOff>355950</xdr:colOff>
      <xdr:row>5</xdr:row>
      <xdr:rowOff>84176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22228" y="767861"/>
          <a:ext cx="2259537" cy="31277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A02B9-6026-4657-8B68-C8E035544185}">
  <sheetPr codeName="Sheet1"/>
  <dimension ref="A1:H26"/>
  <sheetViews>
    <sheetView workbookViewId="0">
      <selection activeCell="H27" sqref="H27:H28"/>
    </sheetView>
  </sheetViews>
  <sheetFormatPr defaultRowHeight="16.5"/>
  <cols>
    <col min="6" max="6" width="8.875" customWidth="1"/>
  </cols>
  <sheetData>
    <row r="1" spans="1:8">
      <c r="A1" t="s">
        <v>1</v>
      </c>
      <c r="B1" s="3" t="s">
        <v>1</v>
      </c>
      <c r="C1" s="3" t="str">
        <f t="shared" ref="C1:C23" si="0">LOWER(B1)</f>
        <v>a</v>
      </c>
      <c r="D1" t="s">
        <v>48</v>
      </c>
      <c r="E1" t="s">
        <v>164</v>
      </c>
    </row>
    <row r="2" spans="1:8">
      <c r="A2" t="s">
        <v>2</v>
      </c>
      <c r="B2" s="3" t="s">
        <v>2</v>
      </c>
      <c r="C2" s="3" t="str">
        <f t="shared" si="0"/>
        <v>b</v>
      </c>
      <c r="D2" t="s">
        <v>49</v>
      </c>
    </row>
    <row r="3" spans="1:8">
      <c r="A3" t="s">
        <v>3</v>
      </c>
      <c r="B3" s="3" t="s">
        <v>3</v>
      </c>
      <c r="C3" s="3" t="str">
        <f t="shared" si="0"/>
        <v>c</v>
      </c>
      <c r="D3" t="s">
        <v>50</v>
      </c>
      <c r="E3" t="s">
        <v>170</v>
      </c>
      <c r="F3">
        <v>235</v>
      </c>
      <c r="G3">
        <v>1</v>
      </c>
      <c r="H3" s="54">
        <f>1/G3</f>
        <v>1</v>
      </c>
    </row>
    <row r="4" spans="1:8">
      <c r="A4" t="s">
        <v>4</v>
      </c>
      <c r="B4" s="3" t="s">
        <v>4</v>
      </c>
      <c r="C4" s="3" t="str">
        <f t="shared" si="0"/>
        <v>d</v>
      </c>
      <c r="D4" t="s">
        <v>67</v>
      </c>
      <c r="E4" t="s">
        <v>171</v>
      </c>
      <c r="F4">
        <v>265</v>
      </c>
      <c r="G4">
        <v>1.08</v>
      </c>
      <c r="H4" s="54">
        <f>1/G4</f>
        <v>0.92592592592592582</v>
      </c>
    </row>
    <row r="5" spans="1:8">
      <c r="A5" t="s">
        <v>5</v>
      </c>
      <c r="B5" s="3" t="s">
        <v>5</v>
      </c>
      <c r="C5" s="3" t="str">
        <f t="shared" si="0"/>
        <v>e</v>
      </c>
      <c r="D5" t="s">
        <v>51</v>
      </c>
      <c r="E5" t="s">
        <v>172</v>
      </c>
      <c r="F5">
        <v>315</v>
      </c>
      <c r="G5">
        <v>1.28</v>
      </c>
      <c r="H5" s="54">
        <f>1/G5</f>
        <v>0.78125</v>
      </c>
    </row>
    <row r="6" spans="1:8">
      <c r="A6" t="s">
        <v>6</v>
      </c>
      <c r="B6" s="3" t="s">
        <v>6</v>
      </c>
      <c r="C6" s="3" t="str">
        <f t="shared" si="0"/>
        <v>f</v>
      </c>
      <c r="D6" t="s">
        <v>52</v>
      </c>
      <c r="E6" t="s">
        <v>174</v>
      </c>
      <c r="F6">
        <v>355</v>
      </c>
      <c r="G6">
        <v>1.39</v>
      </c>
      <c r="H6" s="54">
        <f>1/G6</f>
        <v>0.71942446043165476</v>
      </c>
    </row>
    <row r="7" spans="1:8">
      <c r="A7" t="s">
        <v>7</v>
      </c>
      <c r="B7" s="3" t="s">
        <v>7</v>
      </c>
      <c r="C7" s="3" t="str">
        <f t="shared" si="0"/>
        <v>g</v>
      </c>
      <c r="D7" t="s">
        <v>37</v>
      </c>
      <c r="E7" t="s">
        <v>175</v>
      </c>
      <c r="F7">
        <v>390</v>
      </c>
      <c r="G7">
        <v>1.47</v>
      </c>
      <c r="H7" s="54">
        <f>1/G7</f>
        <v>0.68027210884353739</v>
      </c>
    </row>
    <row r="8" spans="1:8">
      <c r="A8" t="s">
        <v>8</v>
      </c>
      <c r="B8" s="3" t="s">
        <v>8</v>
      </c>
      <c r="C8" s="3" t="str">
        <f t="shared" si="0"/>
        <v>h</v>
      </c>
      <c r="D8" t="s">
        <v>31</v>
      </c>
    </row>
    <row r="9" spans="1:8">
      <c r="A9" t="s">
        <v>9</v>
      </c>
      <c r="B9" s="3" t="s">
        <v>9</v>
      </c>
      <c r="C9" s="3" t="str">
        <f t="shared" si="0"/>
        <v>i</v>
      </c>
      <c r="D9" t="s">
        <v>53</v>
      </c>
    </row>
    <row r="10" spans="1:8">
      <c r="A10" t="s">
        <v>10</v>
      </c>
      <c r="B10" s="3" t="s">
        <v>10</v>
      </c>
      <c r="C10" s="3" t="str">
        <f t="shared" si="0"/>
        <v>j</v>
      </c>
      <c r="D10" t="s">
        <v>54</v>
      </c>
    </row>
    <row r="11" spans="1:8">
      <c r="A11" t="s">
        <v>11</v>
      </c>
      <c r="B11" s="3" t="s">
        <v>11</v>
      </c>
      <c r="C11" s="3" t="str">
        <f t="shared" si="0"/>
        <v>k</v>
      </c>
      <c r="D11" t="s">
        <v>55</v>
      </c>
    </row>
    <row r="12" spans="1:8">
      <c r="A12" t="s">
        <v>12</v>
      </c>
      <c r="B12" s="3" t="s">
        <v>12</v>
      </c>
      <c r="C12" s="3" t="str">
        <f t="shared" si="0"/>
        <v>l</v>
      </c>
      <c r="D12" t="s">
        <v>56</v>
      </c>
    </row>
    <row r="13" spans="1:8">
      <c r="A13" t="s">
        <v>13</v>
      </c>
      <c r="B13" s="3" t="s">
        <v>13</v>
      </c>
      <c r="C13" s="3" t="str">
        <f t="shared" si="0"/>
        <v>m</v>
      </c>
      <c r="D13" t="s">
        <v>21</v>
      </c>
    </row>
    <row r="14" spans="1:8">
      <c r="A14" t="s">
        <v>15</v>
      </c>
      <c r="B14" s="3" t="s">
        <v>15</v>
      </c>
      <c r="C14" s="3" t="str">
        <f t="shared" si="0"/>
        <v>n</v>
      </c>
      <c r="D14" t="s">
        <v>57</v>
      </c>
    </row>
    <row r="15" spans="1:8">
      <c r="A15" t="s">
        <v>17</v>
      </c>
      <c r="B15" s="3" t="s">
        <v>17</v>
      </c>
      <c r="C15" s="3" t="str">
        <f t="shared" si="0"/>
        <v>o</v>
      </c>
      <c r="D15" t="s">
        <v>58</v>
      </c>
    </row>
    <row r="16" spans="1:8">
      <c r="A16" t="s">
        <v>18</v>
      </c>
      <c r="B16" s="3" t="s">
        <v>18</v>
      </c>
      <c r="C16" s="3" t="str">
        <f t="shared" si="0"/>
        <v>p</v>
      </c>
      <c r="D16" t="s">
        <v>59</v>
      </c>
    </row>
    <row r="17" spans="1:4">
      <c r="A17" t="s">
        <v>20</v>
      </c>
      <c r="B17" s="3" t="s">
        <v>20</v>
      </c>
      <c r="C17" s="3" t="str">
        <f t="shared" si="0"/>
        <v>q</v>
      </c>
      <c r="D17" t="s">
        <v>60</v>
      </c>
    </row>
    <row r="18" spans="1:4">
      <c r="A18" t="s">
        <v>22</v>
      </c>
      <c r="B18" s="3" t="s">
        <v>22</v>
      </c>
      <c r="C18" s="3" t="str">
        <f t="shared" si="0"/>
        <v>r</v>
      </c>
      <c r="D18" t="s">
        <v>34</v>
      </c>
    </row>
    <row r="19" spans="1:4">
      <c r="A19" t="s">
        <v>23</v>
      </c>
      <c r="B19" s="3" t="s">
        <v>23</v>
      </c>
      <c r="C19" s="3" t="str">
        <f t="shared" si="0"/>
        <v>s</v>
      </c>
      <c r="D19" t="s">
        <v>41</v>
      </c>
    </row>
    <row r="20" spans="1:4">
      <c r="A20" t="s">
        <v>24</v>
      </c>
      <c r="B20" s="3" t="s">
        <v>24</v>
      </c>
      <c r="C20" s="3" t="str">
        <f t="shared" si="0"/>
        <v>t</v>
      </c>
      <c r="D20" t="s">
        <v>46</v>
      </c>
    </row>
    <row r="21" spans="1:4">
      <c r="A21" t="s">
        <v>25</v>
      </c>
      <c r="B21" s="3" t="s">
        <v>25</v>
      </c>
      <c r="C21" s="3" t="str">
        <f t="shared" si="0"/>
        <v>u</v>
      </c>
      <c r="D21" t="s">
        <v>61</v>
      </c>
    </row>
    <row r="22" spans="1:4">
      <c r="A22" t="s">
        <v>26</v>
      </c>
      <c r="B22" s="3" t="s">
        <v>26</v>
      </c>
      <c r="C22" s="3" t="str">
        <f t="shared" si="0"/>
        <v>v</v>
      </c>
      <c r="D22" t="s">
        <v>62</v>
      </c>
    </row>
    <row r="23" spans="1:4">
      <c r="A23" t="s">
        <v>27</v>
      </c>
      <c r="B23" s="3" t="s">
        <v>27</v>
      </c>
      <c r="C23" s="3" t="str">
        <f t="shared" si="0"/>
        <v>w</v>
      </c>
      <c r="D23" t="s">
        <v>63</v>
      </c>
    </row>
    <row r="24" spans="1:4">
      <c r="A24" t="s">
        <v>28</v>
      </c>
      <c r="B24" s="3" t="s">
        <v>28</v>
      </c>
      <c r="C24" s="3" t="s">
        <v>64</v>
      </c>
      <c r="D24" t="s">
        <v>64</v>
      </c>
    </row>
    <row r="25" spans="1:4">
      <c r="A25" t="s">
        <v>29</v>
      </c>
      <c r="B25" s="3" t="s">
        <v>29</v>
      </c>
      <c r="C25" s="3" t="s">
        <v>65</v>
      </c>
      <c r="D25" t="s">
        <v>65</v>
      </c>
    </row>
    <row r="26" spans="1:4">
      <c r="A26" t="s">
        <v>30</v>
      </c>
      <c r="B26" s="3" t="s">
        <v>30</v>
      </c>
      <c r="C26" s="3" t="s">
        <v>66</v>
      </c>
      <c r="D26" t="s">
        <v>66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F069A-7467-4C22-A8F5-7B5317E9A7BE}">
  <sheetPr codeName="Sheet2"/>
  <dimension ref="A2:R78"/>
  <sheetViews>
    <sheetView tabSelected="1" topLeftCell="A26" zoomScale="130" zoomScaleNormal="130" workbookViewId="0">
      <selection activeCell="O41" sqref="O41"/>
    </sheetView>
  </sheetViews>
  <sheetFormatPr defaultRowHeight="16.5"/>
  <cols>
    <col min="7" max="10" width="8.75" customWidth="1"/>
  </cols>
  <sheetData>
    <row r="2" spans="1:14" ht="26.25">
      <c r="A2" s="9" t="s">
        <v>0</v>
      </c>
    </row>
    <row r="4" spans="1:14" ht="18.75">
      <c r="A4" t="s">
        <v>33</v>
      </c>
      <c r="D4" s="10" t="s">
        <v>34</v>
      </c>
      <c r="E4" s="5" t="s">
        <v>35</v>
      </c>
      <c r="F4" s="5" t="s">
        <v>36</v>
      </c>
      <c r="G4" s="10" t="s">
        <v>88</v>
      </c>
      <c r="H4" s="5" t="s">
        <v>32</v>
      </c>
    </row>
    <row r="5" spans="1:14">
      <c r="D5" s="5">
        <v>1.0249999999999999</v>
      </c>
      <c r="E5" s="5">
        <v>9.81</v>
      </c>
      <c r="F5" s="5">
        <v>10.5</v>
      </c>
      <c r="G5" s="5">
        <v>1.3</v>
      </c>
      <c r="H5" s="6">
        <f>(D5*E5*F5+25)*G5</f>
        <v>169.75416250000001</v>
      </c>
    </row>
    <row r="8" spans="1:14">
      <c r="A8" s="11" t="s">
        <v>38</v>
      </c>
    </row>
    <row r="13" spans="1:14">
      <c r="A13" s="8" t="s">
        <v>39</v>
      </c>
      <c r="C13" t="s">
        <v>14</v>
      </c>
      <c r="D13" t="s">
        <v>16</v>
      </c>
    </row>
    <row r="15" spans="1:14" ht="18.75">
      <c r="A15" s="5" t="s">
        <v>40</v>
      </c>
      <c r="B15" s="5" t="s">
        <v>89</v>
      </c>
      <c r="C15" s="5" t="s">
        <v>42</v>
      </c>
      <c r="D15" s="5" t="s">
        <v>90</v>
      </c>
      <c r="E15" s="10" t="s">
        <v>44</v>
      </c>
      <c r="F15" s="5" t="s">
        <v>91</v>
      </c>
      <c r="G15" s="18" t="s">
        <v>95</v>
      </c>
      <c r="H15" s="18" t="s">
        <v>96</v>
      </c>
      <c r="I15" s="19" t="s">
        <v>98</v>
      </c>
      <c r="J15" s="18" t="s">
        <v>97</v>
      </c>
      <c r="K15" s="22" t="s">
        <v>92</v>
      </c>
      <c r="L15" s="5" t="s">
        <v>93</v>
      </c>
      <c r="M15" s="23" t="s">
        <v>94</v>
      </c>
      <c r="N15" s="5" t="s">
        <v>46</v>
      </c>
    </row>
    <row r="16" spans="1:14">
      <c r="A16" s="6">
        <v>1</v>
      </c>
      <c r="B16" s="5">
        <v>0.75</v>
      </c>
      <c r="C16" s="5">
        <v>1</v>
      </c>
      <c r="D16" s="5">
        <v>355</v>
      </c>
      <c r="E16" s="5">
        <v>1.1499999999999999</v>
      </c>
      <c r="F16" s="6">
        <f>D16/E16</f>
        <v>308.69565217391306</v>
      </c>
      <c r="G16" s="20"/>
      <c r="H16" s="20"/>
      <c r="I16" s="20"/>
      <c r="J16" s="21">
        <f>SQRT(G16^2+H16^2-G16*H16-3*I16^2)</f>
        <v>0</v>
      </c>
      <c r="K16" s="6">
        <f>MIN(1.3*(F16-J16),F16)</f>
        <v>308.69565217391306</v>
      </c>
      <c r="L16" s="5">
        <v>10.5</v>
      </c>
      <c r="M16" s="6">
        <f>(1.025*9.81*L16+25)*$G$5</f>
        <v>169.75416250000001</v>
      </c>
      <c r="N16" s="7">
        <f>15.8*A16*B16*SQRT(M16)/SQRT(K16*C16)</f>
        <v>8.7874589681016193</v>
      </c>
    </row>
    <row r="19" spans="1:14">
      <c r="A19" s="8" t="s">
        <v>47</v>
      </c>
      <c r="C19" t="s">
        <v>14</v>
      </c>
      <c r="D19" t="s">
        <v>19</v>
      </c>
    </row>
    <row r="21" spans="1:14" ht="18.75">
      <c r="A21" s="5" t="s">
        <v>40</v>
      </c>
      <c r="B21" s="5" t="s">
        <v>89</v>
      </c>
      <c r="C21" s="5" t="s">
        <v>42</v>
      </c>
      <c r="D21" s="5" t="s">
        <v>90</v>
      </c>
      <c r="E21" s="10" t="s">
        <v>44</v>
      </c>
      <c r="F21" s="5" t="s">
        <v>91</v>
      </c>
      <c r="G21" s="18" t="s">
        <v>95</v>
      </c>
      <c r="H21" s="18" t="s">
        <v>96</v>
      </c>
      <c r="I21" s="19" t="s">
        <v>98</v>
      </c>
      <c r="J21" s="18" t="s">
        <v>97</v>
      </c>
      <c r="K21" s="22" t="s">
        <v>92</v>
      </c>
      <c r="L21" s="5" t="s">
        <v>93</v>
      </c>
      <c r="M21" s="23" t="s">
        <v>94</v>
      </c>
      <c r="N21" s="5" t="s">
        <v>46</v>
      </c>
    </row>
    <row r="22" spans="1:14">
      <c r="A22" s="6">
        <v>1</v>
      </c>
      <c r="B22" s="5">
        <v>0.75</v>
      </c>
      <c r="C22" s="5">
        <v>1</v>
      </c>
      <c r="D22" s="5">
        <v>355</v>
      </c>
      <c r="E22" s="5">
        <v>1.1499999999999999</v>
      </c>
      <c r="F22" s="6">
        <f>D22/E22</f>
        <v>308.69565217391306</v>
      </c>
      <c r="G22" s="20"/>
      <c r="H22" s="20"/>
      <c r="I22" s="20"/>
      <c r="J22" s="20"/>
      <c r="K22" s="6">
        <f>F22</f>
        <v>308.69565217391306</v>
      </c>
      <c r="L22" s="5">
        <v>0</v>
      </c>
      <c r="M22" s="6">
        <f>(rho*grav*L22 + 25)*G5</f>
        <v>32.5</v>
      </c>
      <c r="N22" s="6">
        <f>15.8*A22*B22*SQRT(M22)/SQRT(K22*C22)</f>
        <v>3.8449861032002204</v>
      </c>
    </row>
    <row r="24" spans="1:14">
      <c r="A24" s="8" t="s">
        <v>68</v>
      </c>
    </row>
    <row r="26" spans="1:14" ht="18.75">
      <c r="A26" s="5" t="s">
        <v>40</v>
      </c>
      <c r="B26" s="5" t="s">
        <v>89</v>
      </c>
      <c r="C26" s="5" t="s">
        <v>42</v>
      </c>
      <c r="D26" s="5" t="s">
        <v>90</v>
      </c>
      <c r="E26" s="10" t="s">
        <v>44</v>
      </c>
      <c r="F26" s="5" t="s">
        <v>91</v>
      </c>
      <c r="G26" s="18" t="s">
        <v>95</v>
      </c>
      <c r="H26" s="18" t="s">
        <v>96</v>
      </c>
      <c r="I26" s="19" t="s">
        <v>98</v>
      </c>
      <c r="J26" s="18" t="s">
        <v>97</v>
      </c>
      <c r="K26" s="22" t="s">
        <v>92</v>
      </c>
      <c r="L26" s="5" t="s">
        <v>93</v>
      </c>
      <c r="M26" s="23" t="s">
        <v>94</v>
      </c>
      <c r="N26" s="5" t="s">
        <v>46</v>
      </c>
    </row>
    <row r="27" spans="1:14">
      <c r="A27" s="6">
        <v>1</v>
      </c>
      <c r="B27" s="5">
        <v>0.75</v>
      </c>
      <c r="C27" s="5">
        <v>1</v>
      </c>
      <c r="D27" s="5">
        <v>355</v>
      </c>
      <c r="E27" s="5">
        <v>1.1499999999999999</v>
      </c>
      <c r="F27" s="6">
        <f>D27/E27</f>
        <v>308.69565217391306</v>
      </c>
      <c r="G27" s="20"/>
      <c r="H27" s="20"/>
      <c r="I27" s="20"/>
      <c r="J27" s="20"/>
      <c r="K27" s="6">
        <f>F27</f>
        <v>308.69565217391306</v>
      </c>
      <c r="L27" s="7">
        <v>10.5</v>
      </c>
      <c r="M27" s="6">
        <f>(rho*grav*L27+25)*$G$5</f>
        <v>169.75416250000001</v>
      </c>
      <c r="N27" s="6">
        <f>15.8*A27*B27*SQRT(M27)/SQRT(K27*C27)</f>
        <v>8.7874589681016193</v>
      </c>
    </row>
    <row r="28" spans="1:14">
      <c r="A28" s="6">
        <v>1</v>
      </c>
      <c r="B28" s="5">
        <v>0.75</v>
      </c>
      <c r="C28" s="5">
        <v>1</v>
      </c>
      <c r="D28" s="5">
        <v>355</v>
      </c>
      <c r="E28" s="5">
        <v>1.1499999999999999</v>
      </c>
      <c r="F28" s="6">
        <f t="shared" ref="F28:F30" si="0">D28/E28</f>
        <v>308.69565217391306</v>
      </c>
      <c r="G28" s="20"/>
      <c r="H28" s="20"/>
      <c r="I28" s="20"/>
      <c r="J28" s="20"/>
      <c r="K28" s="6">
        <f>F28</f>
        <v>308.69565217391306</v>
      </c>
      <c r="L28" s="7">
        <f>L27-2.9</f>
        <v>7.6</v>
      </c>
      <c r="M28" s="6">
        <f>(rho*grav*L28+25)*$G$5</f>
        <v>131.84586999999999</v>
      </c>
      <c r="N28" s="6">
        <f>15.8*A28*B28*SQRT(M28)/SQRT(K28*C28)</f>
        <v>7.7443747294109384</v>
      </c>
    </row>
    <row r="29" spans="1:14">
      <c r="A29" s="6">
        <v>1</v>
      </c>
      <c r="B29" s="5">
        <v>0.75</v>
      </c>
      <c r="C29" s="5">
        <v>1</v>
      </c>
      <c r="D29" s="5">
        <v>355</v>
      </c>
      <c r="E29" s="5">
        <v>1.1499999999999999</v>
      </c>
      <c r="F29" s="6">
        <f t="shared" si="0"/>
        <v>308.69565217391306</v>
      </c>
      <c r="G29" s="20"/>
      <c r="H29" s="20"/>
      <c r="I29" s="20"/>
      <c r="J29" s="20"/>
      <c r="K29" s="6">
        <f>F29</f>
        <v>308.69565217391306</v>
      </c>
      <c r="L29" s="7">
        <f>L28-2.9</f>
        <v>4.6999999999999993</v>
      </c>
      <c r="M29" s="6">
        <f>(rho*grav*L29+25)*$G$5</f>
        <v>93.937577499999989</v>
      </c>
      <c r="N29" s="6">
        <f>15.8*A29*B29*SQRT(M29)/SQRT(K29*C29)</f>
        <v>6.5369140106787329</v>
      </c>
    </row>
    <row r="30" spans="1:14">
      <c r="A30" s="6">
        <v>1</v>
      </c>
      <c r="B30" s="5">
        <v>0.75</v>
      </c>
      <c r="C30" s="5">
        <v>1</v>
      </c>
      <c r="D30" s="5">
        <v>355</v>
      </c>
      <c r="E30" s="5">
        <v>1.1499999999999999</v>
      </c>
      <c r="F30" s="6">
        <f t="shared" si="0"/>
        <v>308.69565217391306</v>
      </c>
      <c r="G30" s="20"/>
      <c r="H30" s="20"/>
      <c r="I30" s="20"/>
      <c r="J30" s="20"/>
      <c r="K30" s="6">
        <f>F30</f>
        <v>308.69565217391306</v>
      </c>
      <c r="L30" s="7">
        <f>L29-2.9</f>
        <v>1.7999999999999994</v>
      </c>
      <c r="M30" s="6">
        <f>(rho*grav*L30+25)*$G$5</f>
        <v>56.029284999999987</v>
      </c>
      <c r="N30" s="6">
        <f>15.8*A30*B30*SQRT(M30)/SQRT(K30*C30)</f>
        <v>5.0484799312740778</v>
      </c>
    </row>
    <row r="33" spans="1:15">
      <c r="A33" s="14" t="s">
        <v>69</v>
      </c>
    </row>
    <row r="34" spans="1:15">
      <c r="E34" t="s">
        <v>70</v>
      </c>
      <c r="G34" t="s">
        <v>87</v>
      </c>
      <c r="H34" t="s">
        <v>71</v>
      </c>
    </row>
    <row r="38" spans="1:15">
      <c r="A38" s="8" t="s">
        <v>72</v>
      </c>
    </row>
    <row r="39" spans="1:15">
      <c r="A39" t="s">
        <v>103</v>
      </c>
      <c r="C39">
        <v>750</v>
      </c>
      <c r="D39">
        <v>12</v>
      </c>
      <c r="E39" s="1" t="s">
        <v>104</v>
      </c>
      <c r="F39" s="25">
        <v>667</v>
      </c>
      <c r="G39" s="2" t="s">
        <v>105</v>
      </c>
      <c r="H39" s="1" t="s">
        <v>112</v>
      </c>
      <c r="I39">
        <f>300*11</f>
        <v>3300</v>
      </c>
    </row>
    <row r="40" spans="1:15" ht="18.75">
      <c r="A40" s="5" t="s">
        <v>99</v>
      </c>
      <c r="B40" s="5" t="s">
        <v>89</v>
      </c>
      <c r="C40" s="5" t="s">
        <v>100</v>
      </c>
      <c r="D40" s="23" t="s">
        <v>94</v>
      </c>
      <c r="E40" s="5" t="s">
        <v>73</v>
      </c>
      <c r="F40" s="5" t="s">
        <v>76</v>
      </c>
      <c r="G40" s="5" t="s">
        <v>90</v>
      </c>
      <c r="H40" s="10" t="s">
        <v>44</v>
      </c>
      <c r="I40" s="5" t="s">
        <v>91</v>
      </c>
      <c r="J40" s="15" t="s">
        <v>75</v>
      </c>
      <c r="K40" s="4" t="s">
        <v>74</v>
      </c>
      <c r="L40" s="4" t="s">
        <v>101</v>
      </c>
      <c r="M40" s="15" t="s">
        <v>110</v>
      </c>
      <c r="N40" s="4" t="s">
        <v>109</v>
      </c>
      <c r="O40" s="4" t="s">
        <v>111</v>
      </c>
    </row>
    <row r="41" spans="1:15">
      <c r="A41" s="16">
        <v>4</v>
      </c>
      <c r="B41" s="5">
        <v>0.75</v>
      </c>
      <c r="C41" s="5">
        <v>10.5</v>
      </c>
      <c r="D41" s="6">
        <f>(rho*grav*C41+25)*$G$5</f>
        <v>169.75416250000001</v>
      </c>
      <c r="E41" s="6">
        <v>1</v>
      </c>
      <c r="F41" s="5">
        <v>12</v>
      </c>
      <c r="G41" s="5">
        <v>355</v>
      </c>
      <c r="H41" s="5">
        <v>1.1499999999999999</v>
      </c>
      <c r="I41" s="6">
        <f>G41/H41</f>
        <v>308.69565217391306</v>
      </c>
      <c r="J41" s="5">
        <v>0</v>
      </c>
      <c r="K41" s="6">
        <f>I41-J41</f>
        <v>308.69565217391306</v>
      </c>
      <c r="L41" s="24">
        <f>A41^2*B41*D41/(F41*K41*E41)*10^3</f>
        <v>549.90785035211263</v>
      </c>
      <c r="M41" s="12">
        <v>0</v>
      </c>
      <c r="N41" s="26">
        <f>0.577*SQRT(I41^2-M41^2)</f>
        <v>178.11739130434782</v>
      </c>
      <c r="O41" s="26">
        <f>A41*B41*D41*10^3/(2*N41)</f>
        <v>1429.5698016086119</v>
      </c>
    </row>
    <row r="44" spans="1:15">
      <c r="A44" s="8" t="s">
        <v>77</v>
      </c>
    </row>
    <row r="45" spans="1:15">
      <c r="A45" t="s">
        <v>102</v>
      </c>
      <c r="C45">
        <v>750</v>
      </c>
      <c r="D45">
        <v>12</v>
      </c>
      <c r="E45" s="1" t="s">
        <v>104</v>
      </c>
      <c r="F45">
        <v>537</v>
      </c>
      <c r="G45" s="2" t="s">
        <v>105</v>
      </c>
      <c r="H45" s="1" t="s">
        <v>112</v>
      </c>
      <c r="I45">
        <f>250*12</f>
        <v>3000</v>
      </c>
    </row>
    <row r="46" spans="1:15" ht="18.75">
      <c r="A46" s="5" t="s">
        <v>99</v>
      </c>
      <c r="B46" s="5" t="s">
        <v>89</v>
      </c>
      <c r="C46" s="5" t="s">
        <v>100</v>
      </c>
      <c r="D46" s="23" t="s">
        <v>94</v>
      </c>
      <c r="E46" s="5" t="s">
        <v>73</v>
      </c>
      <c r="F46" s="5" t="s">
        <v>76</v>
      </c>
      <c r="G46" s="5" t="s">
        <v>90</v>
      </c>
      <c r="H46" s="10" t="s">
        <v>44</v>
      </c>
      <c r="I46" s="5" t="s">
        <v>91</v>
      </c>
      <c r="J46" s="15" t="s">
        <v>75</v>
      </c>
      <c r="K46" s="4" t="s">
        <v>74</v>
      </c>
      <c r="L46" s="4" t="s">
        <v>101</v>
      </c>
      <c r="M46" s="15" t="s">
        <v>110</v>
      </c>
      <c r="N46" s="4" t="s">
        <v>109</v>
      </c>
      <c r="O46" s="4" t="s">
        <v>111</v>
      </c>
    </row>
    <row r="47" spans="1:15">
      <c r="A47" s="16">
        <v>4</v>
      </c>
      <c r="B47" s="5">
        <v>0.75</v>
      </c>
      <c r="C47" s="5">
        <v>0</v>
      </c>
      <c r="D47" s="6">
        <f>(rho*grav*C47+25)*$G$5</f>
        <v>32.5</v>
      </c>
      <c r="E47" s="6">
        <v>1</v>
      </c>
      <c r="F47" s="5">
        <v>12</v>
      </c>
      <c r="G47" s="5">
        <v>355</v>
      </c>
      <c r="H47" s="5">
        <v>1.1499999999999999</v>
      </c>
      <c r="I47" s="6">
        <f>G47/H47</f>
        <v>308.69565217391306</v>
      </c>
      <c r="J47" s="5">
        <v>0</v>
      </c>
      <c r="K47" s="6">
        <f>I47-J47</f>
        <v>308.69565217391306</v>
      </c>
      <c r="L47" s="6">
        <f>A47^2*B47*D47/(F47*K47*E47)*10^3</f>
        <v>105.28169014084506</v>
      </c>
      <c r="M47" s="12">
        <v>0</v>
      </c>
      <c r="N47" s="26">
        <f>0.577*SQRT(I47^2-M47^2)</f>
        <v>178.11739130434782</v>
      </c>
      <c r="O47" s="26">
        <f>A47*B47*D47*10^3/(2*N47)</f>
        <v>273.69590157931992</v>
      </c>
    </row>
    <row r="49" spans="1:15">
      <c r="A49" t="s">
        <v>107</v>
      </c>
    </row>
    <row r="50" spans="1:15">
      <c r="A50" t="s">
        <v>106</v>
      </c>
      <c r="C50">
        <v>750</v>
      </c>
      <c r="D50">
        <v>12</v>
      </c>
      <c r="E50" s="1" t="s">
        <v>104</v>
      </c>
      <c r="F50">
        <v>490</v>
      </c>
      <c r="G50" s="2" t="s">
        <v>105</v>
      </c>
      <c r="H50" s="1" t="s">
        <v>112</v>
      </c>
      <c r="I50">
        <f>250*10</f>
        <v>2500</v>
      </c>
      <c r="K50" t="s">
        <v>108</v>
      </c>
    </row>
    <row r="51" spans="1:15" ht="18.75">
      <c r="A51" s="5" t="s">
        <v>99</v>
      </c>
      <c r="B51" s="5" t="s">
        <v>89</v>
      </c>
      <c r="C51" s="5" t="s">
        <v>100</v>
      </c>
      <c r="D51" s="23" t="s">
        <v>94</v>
      </c>
      <c r="E51" s="5" t="s">
        <v>73</v>
      </c>
      <c r="F51" s="5" t="s">
        <v>76</v>
      </c>
      <c r="G51" s="5" t="s">
        <v>90</v>
      </c>
      <c r="H51" s="10" t="s">
        <v>44</v>
      </c>
      <c r="I51" s="5" t="s">
        <v>91</v>
      </c>
      <c r="J51" s="15" t="s">
        <v>75</v>
      </c>
      <c r="K51" s="4" t="s">
        <v>74</v>
      </c>
      <c r="L51" s="4" t="s">
        <v>101</v>
      </c>
      <c r="M51" s="15" t="s">
        <v>110</v>
      </c>
      <c r="N51" s="4" t="s">
        <v>109</v>
      </c>
      <c r="O51" s="4" t="s">
        <v>111</v>
      </c>
    </row>
    <row r="52" spans="1:15">
      <c r="A52" s="16">
        <v>4</v>
      </c>
      <c r="B52" s="5">
        <v>0.7</v>
      </c>
      <c r="C52" s="7">
        <f>10.5-0.7</f>
        <v>9.8000000000000007</v>
      </c>
      <c r="D52" s="6">
        <f t="shared" ref="D52:D60" si="1">(rho*grav*C52+25)*$G$5</f>
        <v>160.60388499999999</v>
      </c>
      <c r="E52" s="6">
        <v>1</v>
      </c>
      <c r="F52" s="5">
        <v>12</v>
      </c>
      <c r="G52" s="5">
        <v>355</v>
      </c>
      <c r="H52" s="5">
        <v>1.1499999999999999</v>
      </c>
      <c r="I52" s="6">
        <f>G52/H52</f>
        <v>308.69565217391306</v>
      </c>
      <c r="J52" s="5">
        <v>0</v>
      </c>
      <c r="K52" s="6">
        <f>I52-J52</f>
        <v>308.69565217391306</v>
      </c>
      <c r="L52" s="6">
        <f>A52^2*B52*D52/(F52*K52*E52)*10^3</f>
        <v>485.58169924882617</v>
      </c>
      <c r="M52" s="12"/>
      <c r="N52" s="24">
        <f>0.577*SQRT(I52^2-M52^2)</f>
        <v>178.11739130434782</v>
      </c>
      <c r="O52" s="24">
        <f>A52*B52*D52*10^3/(2*N52)</f>
        <v>1262.3441054995483</v>
      </c>
    </row>
    <row r="53" spans="1:15">
      <c r="A53" s="16">
        <v>4</v>
      </c>
      <c r="B53" s="5">
        <v>0.7</v>
      </c>
      <c r="C53" s="7">
        <f>C52-0.7</f>
        <v>9.1000000000000014</v>
      </c>
      <c r="D53" s="6">
        <f t="shared" si="1"/>
        <v>151.4536075</v>
      </c>
      <c r="E53" s="6">
        <v>1</v>
      </c>
      <c r="F53" s="5">
        <v>12</v>
      </c>
      <c r="G53" s="5">
        <v>355</v>
      </c>
      <c r="H53" s="5">
        <v>1.1499999999999999</v>
      </c>
      <c r="I53" s="6">
        <f t="shared" ref="I53:I55" si="2">G53/H53</f>
        <v>308.69565217391306</v>
      </c>
      <c r="J53" s="5">
        <v>0</v>
      </c>
      <c r="K53" s="6">
        <f t="shared" ref="K53:K55" si="3">I53-J53</f>
        <v>308.69565217391306</v>
      </c>
      <c r="L53" s="6">
        <f t="shared" ref="L53:L60" si="4">A53^2*B53*D53/(F53*K53*E53)*10^3</f>
        <v>457.91607150234734</v>
      </c>
      <c r="M53" s="12"/>
      <c r="N53" s="24">
        <f t="shared" ref="N53:N60" si="5">0.577*SQRT(I53^2-M53^2)</f>
        <v>178.11739130434782</v>
      </c>
      <c r="O53" s="24">
        <f t="shared" ref="O53:O60" si="6">A53*B53*D53*10^3/(2*N53)</f>
        <v>1190.423062831059</v>
      </c>
    </row>
    <row r="54" spans="1:15">
      <c r="A54" s="16">
        <v>4</v>
      </c>
      <c r="B54" s="5">
        <v>0.7</v>
      </c>
      <c r="C54" s="7">
        <f t="shared" ref="C54:C60" si="7">C53-0.7</f>
        <v>8.4000000000000021</v>
      </c>
      <c r="D54" s="6">
        <f t="shared" si="1"/>
        <v>142.30333000000002</v>
      </c>
      <c r="E54" s="6">
        <v>1</v>
      </c>
      <c r="F54" s="5">
        <v>12</v>
      </c>
      <c r="G54" s="5">
        <v>355</v>
      </c>
      <c r="H54" s="5">
        <v>1.1499999999999999</v>
      </c>
      <c r="I54" s="6">
        <f t="shared" si="2"/>
        <v>308.69565217391306</v>
      </c>
      <c r="J54" s="5">
        <v>0</v>
      </c>
      <c r="K54" s="6">
        <f t="shared" si="3"/>
        <v>308.69565217391306</v>
      </c>
      <c r="L54" s="6">
        <f t="shared" si="4"/>
        <v>430.25044375586856</v>
      </c>
      <c r="M54" s="12"/>
      <c r="N54" s="24">
        <f t="shared" si="5"/>
        <v>178.11739130434782</v>
      </c>
      <c r="O54" s="24">
        <f t="shared" si="6"/>
        <v>1118.50202016257</v>
      </c>
    </row>
    <row r="55" spans="1:15">
      <c r="A55" s="16">
        <v>4</v>
      </c>
      <c r="B55" s="5">
        <v>0.7</v>
      </c>
      <c r="C55" s="7">
        <f t="shared" si="7"/>
        <v>7.700000000000002</v>
      </c>
      <c r="D55" s="6">
        <f t="shared" si="1"/>
        <v>133.15305250000003</v>
      </c>
      <c r="E55" s="6">
        <v>1</v>
      </c>
      <c r="F55" s="5">
        <v>12</v>
      </c>
      <c r="G55" s="5">
        <v>355</v>
      </c>
      <c r="H55" s="5">
        <v>1.1499999999999999</v>
      </c>
      <c r="I55" s="6">
        <f t="shared" si="2"/>
        <v>308.69565217391306</v>
      </c>
      <c r="J55" s="5">
        <v>0</v>
      </c>
      <c r="K55" s="6">
        <f t="shared" si="3"/>
        <v>308.69565217391306</v>
      </c>
      <c r="L55" s="6">
        <f t="shared" si="4"/>
        <v>402.58481600938973</v>
      </c>
      <c r="M55" s="12"/>
      <c r="N55" s="24">
        <f t="shared" si="5"/>
        <v>178.11739130434782</v>
      </c>
      <c r="O55" s="24">
        <f t="shared" si="6"/>
        <v>1046.5809774940808</v>
      </c>
    </row>
    <row r="56" spans="1:15">
      <c r="A56" s="16">
        <v>4</v>
      </c>
      <c r="B56" s="5">
        <v>0.7</v>
      </c>
      <c r="C56" s="7">
        <f t="shared" si="7"/>
        <v>7.0000000000000018</v>
      </c>
      <c r="D56" s="6">
        <f t="shared" si="1"/>
        <v>124.00277500000001</v>
      </c>
      <c r="E56" s="6">
        <v>1</v>
      </c>
      <c r="F56" s="5">
        <v>12</v>
      </c>
      <c r="G56" s="5">
        <v>355</v>
      </c>
      <c r="H56" s="5">
        <v>1.1499999999999999</v>
      </c>
      <c r="I56" s="6">
        <f t="shared" ref="I56:I60" si="8">G56/H56</f>
        <v>308.69565217391306</v>
      </c>
      <c r="J56" s="5">
        <v>0</v>
      </c>
      <c r="K56" s="6">
        <f t="shared" ref="K56:K60" si="9">I56-J56</f>
        <v>308.69565217391306</v>
      </c>
      <c r="L56" s="6">
        <f t="shared" si="4"/>
        <v>374.91918826291084</v>
      </c>
      <c r="M56" s="12"/>
      <c r="N56" s="24">
        <f t="shared" si="5"/>
        <v>178.11739130434782</v>
      </c>
      <c r="O56" s="24">
        <f t="shared" si="6"/>
        <v>974.65993482559145</v>
      </c>
    </row>
    <row r="57" spans="1:15">
      <c r="A57" s="16">
        <v>4</v>
      </c>
      <c r="B57" s="5">
        <v>0.7</v>
      </c>
      <c r="C57" s="7">
        <f t="shared" si="7"/>
        <v>6.3000000000000016</v>
      </c>
      <c r="D57" s="6">
        <f t="shared" si="1"/>
        <v>114.85249750000001</v>
      </c>
      <c r="E57" s="6">
        <v>1</v>
      </c>
      <c r="F57" s="5">
        <v>12</v>
      </c>
      <c r="G57" s="5">
        <v>355</v>
      </c>
      <c r="H57" s="5">
        <v>1.1499999999999999</v>
      </c>
      <c r="I57" s="6">
        <f t="shared" si="8"/>
        <v>308.69565217391306</v>
      </c>
      <c r="J57" s="5">
        <v>0</v>
      </c>
      <c r="K57" s="6">
        <f t="shared" si="9"/>
        <v>308.69565217391306</v>
      </c>
      <c r="L57" s="6">
        <f t="shared" si="4"/>
        <v>347.25356051643189</v>
      </c>
      <c r="M57" s="12"/>
      <c r="N57" s="24">
        <f t="shared" si="5"/>
        <v>178.11739130434782</v>
      </c>
      <c r="O57" s="24">
        <f t="shared" si="6"/>
        <v>902.7388921571021</v>
      </c>
    </row>
    <row r="58" spans="1:15">
      <c r="A58" s="16">
        <v>4</v>
      </c>
      <c r="B58" s="5">
        <v>0.7</v>
      </c>
      <c r="C58" s="7">
        <f t="shared" si="7"/>
        <v>5.6000000000000014</v>
      </c>
      <c r="D58" s="6">
        <f t="shared" si="1"/>
        <v>105.70222000000001</v>
      </c>
      <c r="E58" s="6">
        <v>1</v>
      </c>
      <c r="F58" s="5">
        <v>12</v>
      </c>
      <c r="G58" s="5">
        <v>355</v>
      </c>
      <c r="H58" s="5">
        <v>1.1499999999999999</v>
      </c>
      <c r="I58" s="6">
        <f t="shared" si="8"/>
        <v>308.69565217391306</v>
      </c>
      <c r="J58" s="5">
        <v>0</v>
      </c>
      <c r="K58" s="6">
        <f t="shared" si="9"/>
        <v>308.69565217391306</v>
      </c>
      <c r="L58" s="6">
        <f t="shared" si="4"/>
        <v>319.58793276995306</v>
      </c>
      <c r="M58" s="12"/>
      <c r="N58" s="24">
        <f t="shared" si="5"/>
        <v>178.11739130434782</v>
      </c>
      <c r="O58" s="24">
        <f t="shared" si="6"/>
        <v>830.81784948861286</v>
      </c>
    </row>
    <row r="59" spans="1:15">
      <c r="A59" s="16">
        <v>4</v>
      </c>
      <c r="B59" s="5">
        <v>0.7</v>
      </c>
      <c r="C59" s="7">
        <f t="shared" si="7"/>
        <v>4.9000000000000012</v>
      </c>
      <c r="D59" s="6">
        <f t="shared" si="1"/>
        <v>96.551942499999996</v>
      </c>
      <c r="E59" s="6">
        <v>1</v>
      </c>
      <c r="F59" s="5">
        <v>12</v>
      </c>
      <c r="G59" s="5">
        <v>355</v>
      </c>
      <c r="H59" s="5">
        <v>1.1499999999999999</v>
      </c>
      <c r="I59" s="6">
        <f t="shared" si="8"/>
        <v>308.69565217391306</v>
      </c>
      <c r="J59" s="5">
        <v>0</v>
      </c>
      <c r="K59" s="6">
        <f t="shared" si="9"/>
        <v>308.69565217391306</v>
      </c>
      <c r="L59" s="6">
        <f t="shared" si="4"/>
        <v>291.92230502347411</v>
      </c>
      <c r="M59" s="12"/>
      <c r="N59" s="24">
        <f t="shared" si="5"/>
        <v>178.11739130434782</v>
      </c>
      <c r="O59" s="24">
        <f t="shared" si="6"/>
        <v>758.8968068201234</v>
      </c>
    </row>
    <row r="60" spans="1:15">
      <c r="A60" s="16">
        <v>4</v>
      </c>
      <c r="B60" s="5">
        <v>0.7</v>
      </c>
      <c r="C60" s="7">
        <f t="shared" si="7"/>
        <v>4.2000000000000011</v>
      </c>
      <c r="D60" s="6">
        <f t="shared" si="1"/>
        <v>87.401665000000023</v>
      </c>
      <c r="E60" s="6">
        <v>1</v>
      </c>
      <c r="F60" s="5">
        <v>12</v>
      </c>
      <c r="G60" s="5">
        <v>355</v>
      </c>
      <c r="H60" s="5">
        <v>1.1499999999999999</v>
      </c>
      <c r="I60" s="6">
        <f t="shared" si="8"/>
        <v>308.69565217391306</v>
      </c>
      <c r="J60" s="5">
        <v>0</v>
      </c>
      <c r="K60" s="6">
        <f t="shared" si="9"/>
        <v>308.69565217391306</v>
      </c>
      <c r="L60" s="6">
        <f t="shared" si="4"/>
        <v>264.25667727699533</v>
      </c>
      <c r="M60" s="12"/>
      <c r="N60" s="24">
        <f t="shared" si="5"/>
        <v>178.11739130434782</v>
      </c>
      <c r="O60" s="24">
        <f t="shared" si="6"/>
        <v>686.97576415163439</v>
      </c>
    </row>
    <row r="62" spans="1:15">
      <c r="A62" s="8" t="s">
        <v>113</v>
      </c>
    </row>
    <row r="76" spans="18:18">
      <c r="R76" s="13"/>
    </row>
    <row r="77" spans="18:18">
      <c r="R77" s="13"/>
    </row>
    <row r="78" spans="18:18">
      <c r="R78" s="13"/>
    </row>
  </sheetData>
  <phoneticPr fontId="1" type="noConversion"/>
  <dataValidations disablePrompts="1" count="1">
    <dataValidation type="list" allowBlank="1" showInputMessage="1" showErrorMessage="1" sqref="D13 D19" xr:uid="{E57C0F46-2864-4D5F-89A0-5EB8CF051FF3}">
      <formula1>#REF!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FA668-5452-485E-B89A-95E7D66DD8A3}">
  <sheetPr codeName="Sheet5"/>
  <dimension ref="A1:R482"/>
  <sheetViews>
    <sheetView topLeftCell="A13" zoomScale="130" zoomScaleNormal="130" workbookViewId="0">
      <selection activeCell="F24" sqref="F24"/>
    </sheetView>
  </sheetViews>
  <sheetFormatPr defaultColWidth="0" defaultRowHeight="12" customHeight="1"/>
  <cols>
    <col min="1" max="12" width="6.625" style="51" customWidth="1"/>
    <col min="13" max="18" width="0" style="51" hidden="1" customWidth="1"/>
    <col min="19" max="16384" width="6.625" style="51" hidden="1"/>
  </cols>
  <sheetData>
    <row r="1" spans="1:12" ht="12" customHeight="1">
      <c r="A1" s="52"/>
      <c r="B1" s="52"/>
      <c r="C1" s="52"/>
      <c r="D1" s="52"/>
    </row>
    <row r="2" spans="1:12" ht="12" customHeight="1">
      <c r="A2" s="52"/>
      <c r="B2" s="52"/>
      <c r="C2" s="52"/>
      <c r="D2" s="52"/>
    </row>
    <row r="3" spans="1:12" ht="12" customHeight="1">
      <c r="A3" s="52"/>
      <c r="B3" s="52"/>
      <c r="C3" s="52"/>
      <c r="D3" s="52"/>
    </row>
    <row r="4" spans="1:12" ht="12" customHeight="1">
      <c r="A4" s="52"/>
      <c r="B4" s="52"/>
      <c r="C4" s="52"/>
      <c r="D4" s="52"/>
      <c r="E4" s="86"/>
      <c r="F4" s="86"/>
      <c r="G4" s="86"/>
      <c r="H4" s="86"/>
      <c r="I4" s="86"/>
      <c r="J4" s="86"/>
      <c r="K4" s="86"/>
      <c r="L4" s="86"/>
    </row>
    <row r="5" spans="1:12" ht="12" customHeight="1">
      <c r="A5" s="52"/>
      <c r="B5" s="52"/>
      <c r="C5" s="52"/>
      <c r="D5" s="52"/>
      <c r="E5" s="86"/>
      <c r="F5" s="86"/>
      <c r="G5" s="86"/>
      <c r="H5" s="86"/>
      <c r="I5" s="86"/>
      <c r="J5" s="86"/>
      <c r="K5" s="86"/>
      <c r="L5" s="86"/>
    </row>
    <row r="7" spans="1:12" ht="12" customHeight="1">
      <c r="A7" s="53" t="s">
        <v>165</v>
      </c>
      <c r="C7" s="87" t="s">
        <v>181</v>
      </c>
      <c r="D7" s="87"/>
      <c r="E7" s="87"/>
      <c r="F7" s="87"/>
      <c r="G7" s="87"/>
      <c r="H7" s="87"/>
      <c r="I7" s="87"/>
      <c r="J7" s="87"/>
    </row>
    <row r="8" spans="1:12" s="73" customFormat="1" ht="12" customHeight="1">
      <c r="A8" s="73" t="s">
        <v>167</v>
      </c>
      <c r="C8" s="74" t="s">
        <v>166</v>
      </c>
      <c r="D8" s="74"/>
      <c r="E8" s="85">
        <v>10.5</v>
      </c>
      <c r="F8" s="75" t="s">
        <v>21</v>
      </c>
    </row>
    <row r="9" spans="1:12" s="73" customFormat="1" ht="12" customHeight="1">
      <c r="C9" s="74"/>
      <c r="D9" s="76" t="s">
        <v>182</v>
      </c>
      <c r="E9" s="73">
        <v>1.3</v>
      </c>
      <c r="F9" s="75"/>
    </row>
    <row r="10" spans="1:12" s="73" customFormat="1" ht="12" customHeight="1">
      <c r="D10" s="72" t="s">
        <v>32</v>
      </c>
      <c r="E10" s="77">
        <f>(1.025*9.81*E8+25)*E9</f>
        <v>169.75416250000001</v>
      </c>
      <c r="F10" s="73" t="s">
        <v>183</v>
      </c>
    </row>
    <row r="11" spans="1:12" s="73" customFormat="1" ht="12" customHeight="1">
      <c r="D11" s="72"/>
      <c r="E11" s="77"/>
    </row>
    <row r="12" spans="1:12" s="73" customFormat="1" ht="12" customHeight="1">
      <c r="A12" s="73" t="s">
        <v>169</v>
      </c>
      <c r="E12" s="83" t="s">
        <v>173</v>
      </c>
    </row>
    <row r="13" spans="1:12" s="73" customFormat="1" ht="12" customHeight="1">
      <c r="A13" s="73" t="s">
        <v>180</v>
      </c>
      <c r="B13" s="74"/>
      <c r="C13" s="74">
        <v>160</v>
      </c>
      <c r="D13" s="74" t="s">
        <v>168</v>
      </c>
      <c r="E13" s="78">
        <f>C13*VLOOKUP(E12,Front!E3:H7,3,FALSE)</f>
        <v>222.39999999999998</v>
      </c>
      <c r="F13" s="73" t="s">
        <v>184</v>
      </c>
    </row>
    <row r="14" spans="1:12" s="73" customFormat="1" ht="12" customHeight="1">
      <c r="D14" s="79" t="s">
        <v>185</v>
      </c>
      <c r="E14" s="72">
        <v>1.1499999999999999</v>
      </c>
    </row>
    <row r="15" spans="1:12" s="73" customFormat="1" ht="12" customHeight="1">
      <c r="D15" s="73" t="s">
        <v>176</v>
      </c>
      <c r="E15" s="80">
        <v>1</v>
      </c>
    </row>
    <row r="16" spans="1:12" s="73" customFormat="1" ht="12" customHeight="1"/>
    <row r="17" spans="1:12" s="73" customFormat="1" ht="12" customHeight="1">
      <c r="D17" s="74" t="s">
        <v>179</v>
      </c>
      <c r="E17" s="84">
        <v>0.7</v>
      </c>
      <c r="F17" s="75" t="s">
        <v>21</v>
      </c>
    </row>
    <row r="18" spans="1:12" s="73" customFormat="1" ht="12" customHeight="1">
      <c r="D18" s="74" t="s">
        <v>178</v>
      </c>
      <c r="E18" s="84">
        <v>4</v>
      </c>
      <c r="F18" s="75" t="s">
        <v>21</v>
      </c>
    </row>
    <row r="19" spans="1:12" s="73" customFormat="1" ht="12" customHeight="1">
      <c r="D19" s="74" t="s">
        <v>177</v>
      </c>
      <c r="E19" s="81">
        <f>MAX(MIN((1.1-0.25*E17/E18)^2,1),0.72)</f>
        <v>1</v>
      </c>
    </row>
    <row r="20" spans="1:12" s="73" customFormat="1" ht="12" customHeight="1"/>
    <row r="21" spans="1:12" s="73" customFormat="1" ht="12" customHeight="1">
      <c r="I21" s="82">
        <v>1</v>
      </c>
    </row>
    <row r="22" spans="1:12" s="73" customFormat="1" ht="12" customHeight="1"/>
    <row r="23" spans="1:12" ht="12" customHeight="1">
      <c r="A23" s="56"/>
      <c r="B23" s="56"/>
      <c r="C23" s="56"/>
      <c r="D23" s="56"/>
      <c r="E23" s="56"/>
      <c r="F23" s="56"/>
      <c r="G23" s="56"/>
      <c r="H23" s="56"/>
      <c r="I23" s="56"/>
      <c r="J23" s="56"/>
      <c r="K23" s="56"/>
      <c r="L23" s="56"/>
    </row>
    <row r="24" spans="1:12" ht="15" customHeight="1">
      <c r="A24" s="57"/>
      <c r="B24" s="55"/>
      <c r="C24" s="59"/>
      <c r="D24" s="59"/>
      <c r="E24" s="59"/>
      <c r="F24" s="59"/>
      <c r="G24" s="59"/>
      <c r="H24" s="59"/>
      <c r="I24" s="59"/>
      <c r="J24" s="59"/>
      <c r="K24" s="59"/>
      <c r="L24" s="60"/>
    </row>
    <row r="25" spans="1:12" ht="15" customHeight="1">
      <c r="A25" s="61"/>
      <c r="B25" s="62"/>
      <c r="C25" s="63"/>
      <c r="D25" s="64"/>
      <c r="E25" s="62"/>
      <c r="F25" s="62"/>
      <c r="G25" s="62"/>
      <c r="H25" s="62"/>
      <c r="I25" s="62"/>
      <c r="J25" s="62"/>
      <c r="K25" s="62"/>
      <c r="L25" s="65"/>
    </row>
    <row r="26" spans="1:12" ht="15" customHeight="1">
      <c r="A26" s="66"/>
      <c r="B26" s="67"/>
      <c r="C26" s="67"/>
      <c r="D26" s="68"/>
      <c r="E26" s="67"/>
      <c r="F26" s="68"/>
      <c r="G26" s="69"/>
      <c r="H26" s="69"/>
      <c r="I26" s="70"/>
      <c r="J26" s="70"/>
      <c r="K26" s="70"/>
      <c r="L26" s="71"/>
    </row>
    <row r="27" spans="1:12" ht="15" customHeight="1">
      <c r="A27" s="57"/>
      <c r="B27" s="55"/>
      <c r="C27" s="59"/>
      <c r="D27" s="59"/>
      <c r="E27" s="59"/>
      <c r="F27" s="59"/>
      <c r="G27" s="59"/>
      <c r="H27" s="59"/>
      <c r="I27" s="59"/>
      <c r="J27" s="59"/>
      <c r="K27" s="59"/>
      <c r="L27" s="60"/>
    </row>
    <row r="28" spans="1:12" ht="15" customHeight="1">
      <c r="A28" s="61"/>
      <c r="B28" s="62"/>
      <c r="C28" s="63"/>
      <c r="D28" s="64"/>
      <c r="E28" s="62"/>
      <c r="F28" s="62"/>
      <c r="G28" s="62"/>
      <c r="H28" s="62"/>
      <c r="I28" s="62"/>
      <c r="J28" s="62"/>
      <c r="K28" s="62"/>
      <c r="L28" s="65"/>
    </row>
    <row r="29" spans="1:12" ht="15" customHeight="1">
      <c r="A29" s="66"/>
      <c r="B29" s="67"/>
      <c r="C29" s="67"/>
      <c r="D29" s="68"/>
      <c r="E29" s="67"/>
      <c r="F29" s="68"/>
      <c r="G29" s="69"/>
      <c r="H29" s="69"/>
      <c r="I29" s="70"/>
      <c r="J29" s="70"/>
      <c r="K29" s="70"/>
      <c r="L29" s="71"/>
    </row>
    <row r="30" spans="1:12" ht="15" customHeight="1">
      <c r="A30" s="57"/>
      <c r="B30" s="55"/>
      <c r="C30" s="59"/>
      <c r="D30" s="59"/>
      <c r="E30" s="59"/>
      <c r="F30" s="59"/>
      <c r="G30" s="59"/>
      <c r="H30" s="59"/>
      <c r="I30" s="59"/>
      <c r="J30" s="59"/>
      <c r="K30" s="59"/>
      <c r="L30" s="60"/>
    </row>
    <row r="31" spans="1:12" ht="15" customHeight="1">
      <c r="A31" s="61"/>
      <c r="B31" s="62"/>
      <c r="C31" s="63"/>
      <c r="D31" s="64"/>
      <c r="E31" s="62"/>
      <c r="F31" s="62"/>
      <c r="G31" s="62"/>
      <c r="H31" s="62"/>
      <c r="I31" s="62"/>
      <c r="J31" s="62"/>
      <c r="K31" s="62"/>
      <c r="L31" s="65"/>
    </row>
    <row r="32" spans="1:12" ht="15" customHeight="1">
      <c r="A32" s="66"/>
      <c r="B32" s="67"/>
      <c r="C32" s="67"/>
      <c r="D32" s="68"/>
      <c r="E32" s="67"/>
      <c r="F32" s="68"/>
      <c r="G32" s="69"/>
      <c r="H32" s="69"/>
      <c r="I32" s="70"/>
      <c r="J32" s="70"/>
      <c r="K32" s="70"/>
      <c r="L32" s="71"/>
    </row>
    <row r="33" spans="1:12" ht="15" customHeight="1">
      <c r="A33" s="57"/>
      <c r="B33" s="55"/>
      <c r="C33" s="59"/>
      <c r="D33" s="59"/>
      <c r="E33" s="59"/>
      <c r="F33" s="59"/>
      <c r="G33" s="59"/>
      <c r="H33" s="59"/>
      <c r="I33" s="59"/>
      <c r="J33" s="59"/>
      <c r="K33" s="59"/>
      <c r="L33" s="60"/>
    </row>
    <row r="34" spans="1:12" ht="15" customHeight="1">
      <c r="A34" s="61"/>
      <c r="B34" s="62"/>
      <c r="C34" s="63"/>
      <c r="D34" s="64"/>
      <c r="E34" s="62"/>
      <c r="F34" s="62"/>
      <c r="G34" s="62"/>
      <c r="H34" s="62"/>
      <c r="I34" s="62"/>
      <c r="J34" s="62"/>
      <c r="K34" s="62"/>
      <c r="L34" s="65"/>
    </row>
    <row r="35" spans="1:12" ht="15" customHeight="1">
      <c r="A35" s="66"/>
      <c r="B35" s="67"/>
      <c r="C35" s="67"/>
      <c r="D35" s="68"/>
      <c r="E35" s="67"/>
      <c r="F35" s="68"/>
      <c r="G35" s="69"/>
      <c r="H35" s="69"/>
      <c r="I35" s="70"/>
      <c r="J35" s="70"/>
      <c r="K35" s="70"/>
      <c r="L35" s="71"/>
    </row>
    <row r="36" spans="1:12" ht="15" customHeight="1">
      <c r="A36" s="57"/>
      <c r="B36" s="55"/>
      <c r="C36" s="59"/>
      <c r="D36" s="59"/>
      <c r="E36" s="59"/>
      <c r="F36" s="59"/>
      <c r="G36" s="59"/>
      <c r="H36" s="59"/>
      <c r="I36" s="59"/>
      <c r="J36" s="59"/>
      <c r="K36" s="59"/>
      <c r="L36" s="60"/>
    </row>
    <row r="37" spans="1:12" ht="15" customHeight="1">
      <c r="A37" s="61"/>
      <c r="B37" s="62"/>
      <c r="C37" s="63"/>
      <c r="D37" s="64"/>
      <c r="E37" s="62"/>
      <c r="F37" s="62"/>
      <c r="G37" s="62"/>
      <c r="H37" s="62"/>
      <c r="I37" s="62"/>
      <c r="J37" s="62"/>
      <c r="K37" s="62"/>
      <c r="L37" s="65"/>
    </row>
    <row r="38" spans="1:12" ht="15" customHeight="1">
      <c r="A38" s="66"/>
      <c r="B38" s="67"/>
      <c r="C38" s="67"/>
      <c r="D38" s="68"/>
      <c r="E38" s="67"/>
      <c r="F38" s="68"/>
      <c r="G38" s="69"/>
      <c r="H38" s="69"/>
      <c r="I38" s="70"/>
      <c r="J38" s="70"/>
      <c r="K38" s="70"/>
      <c r="L38" s="71"/>
    </row>
    <row r="39" spans="1:12" ht="15" customHeight="1">
      <c r="A39" s="57"/>
      <c r="B39" s="55"/>
      <c r="C39" s="59"/>
      <c r="D39" s="59"/>
      <c r="E39" s="59"/>
      <c r="F39" s="59"/>
      <c r="G39" s="59"/>
      <c r="H39" s="59"/>
      <c r="I39" s="59"/>
      <c r="J39" s="59"/>
      <c r="K39" s="59"/>
      <c r="L39" s="60"/>
    </row>
    <row r="40" spans="1:12" ht="15" customHeight="1">
      <c r="A40" s="61"/>
      <c r="B40" s="62"/>
      <c r="C40" s="63"/>
      <c r="D40" s="64"/>
      <c r="E40" s="62"/>
      <c r="F40" s="62"/>
      <c r="G40" s="62"/>
      <c r="H40" s="62"/>
      <c r="I40" s="62"/>
      <c r="J40" s="62"/>
      <c r="K40" s="62"/>
      <c r="L40" s="65"/>
    </row>
    <row r="41" spans="1:12" ht="15" customHeight="1">
      <c r="A41" s="66"/>
      <c r="B41" s="67"/>
      <c r="C41" s="67"/>
      <c r="D41" s="68"/>
      <c r="E41" s="67"/>
      <c r="F41" s="68"/>
      <c r="G41" s="69"/>
      <c r="H41" s="69"/>
      <c r="I41" s="70"/>
      <c r="J41" s="70"/>
      <c r="K41" s="70"/>
      <c r="L41" s="71"/>
    </row>
    <row r="42" spans="1:12" ht="15" customHeight="1">
      <c r="A42" s="58"/>
      <c r="B42" s="59"/>
      <c r="C42" s="59"/>
      <c r="D42" s="59"/>
      <c r="E42" s="59"/>
      <c r="F42" s="59"/>
      <c r="G42" s="59"/>
      <c r="H42" s="59"/>
      <c r="I42" s="59"/>
      <c r="J42" s="59"/>
      <c r="K42" s="59"/>
      <c r="L42" s="60"/>
    </row>
    <row r="43" spans="1:12" ht="15" customHeight="1">
      <c r="A43" s="61"/>
      <c r="B43" s="62"/>
      <c r="C43" s="63"/>
      <c r="D43" s="64"/>
      <c r="E43" s="62"/>
      <c r="F43" s="62"/>
      <c r="G43" s="62"/>
      <c r="H43" s="62"/>
      <c r="I43" s="62"/>
      <c r="J43" s="62"/>
      <c r="K43" s="62"/>
      <c r="L43" s="65"/>
    </row>
    <row r="44" spans="1:12" ht="15" customHeight="1">
      <c r="A44" s="66"/>
      <c r="B44" s="67"/>
      <c r="C44" s="67"/>
      <c r="D44" s="68"/>
      <c r="E44" s="67"/>
      <c r="F44" s="68"/>
      <c r="G44" s="69"/>
      <c r="H44" s="69"/>
      <c r="I44" s="70"/>
      <c r="J44" s="70"/>
      <c r="K44" s="70"/>
      <c r="L44" s="71"/>
    </row>
    <row r="45" spans="1:12" ht="15" customHeight="1">
      <c r="A45" s="58"/>
      <c r="B45" s="59"/>
      <c r="C45" s="59"/>
      <c r="D45" s="59"/>
      <c r="E45" s="59"/>
      <c r="F45" s="59"/>
      <c r="G45" s="59"/>
      <c r="H45" s="59"/>
      <c r="I45" s="59"/>
      <c r="J45" s="59"/>
      <c r="K45" s="59"/>
      <c r="L45" s="60"/>
    </row>
    <row r="46" spans="1:12" ht="15" customHeight="1">
      <c r="A46" s="61"/>
      <c r="B46" s="62"/>
      <c r="C46" s="63"/>
      <c r="D46" s="64"/>
      <c r="E46" s="62"/>
      <c r="F46" s="62"/>
      <c r="G46" s="62"/>
      <c r="H46" s="62"/>
      <c r="I46" s="62"/>
      <c r="J46" s="62"/>
      <c r="K46" s="62"/>
      <c r="L46" s="65"/>
    </row>
    <row r="47" spans="1:12" ht="15" customHeight="1">
      <c r="A47" s="66"/>
      <c r="B47" s="67"/>
      <c r="C47" s="67"/>
      <c r="D47" s="68"/>
      <c r="E47" s="67"/>
      <c r="F47" s="68"/>
      <c r="G47" s="69"/>
      <c r="H47" s="69"/>
      <c r="I47" s="70"/>
      <c r="J47" s="70"/>
      <c r="K47" s="70"/>
      <c r="L47" s="71"/>
    </row>
    <row r="48" spans="1:12" ht="15" customHeight="1">
      <c r="A48" s="58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60"/>
    </row>
    <row r="49" spans="1:12" ht="15" customHeight="1">
      <c r="A49" s="61"/>
      <c r="B49" s="62"/>
      <c r="C49" s="63"/>
      <c r="D49" s="64"/>
      <c r="E49" s="62"/>
      <c r="F49" s="62"/>
      <c r="G49" s="62"/>
      <c r="H49" s="62"/>
      <c r="I49" s="62"/>
      <c r="J49" s="62"/>
      <c r="K49" s="62"/>
      <c r="L49" s="65"/>
    </row>
    <row r="50" spans="1:12" ht="15" customHeight="1">
      <c r="A50" s="66"/>
      <c r="B50" s="67"/>
      <c r="C50" s="67"/>
      <c r="D50" s="68"/>
      <c r="E50" s="67"/>
      <c r="F50" s="68"/>
      <c r="G50" s="69"/>
      <c r="H50" s="69"/>
      <c r="I50" s="70"/>
      <c r="J50" s="70"/>
      <c r="K50" s="70"/>
      <c r="L50" s="71"/>
    </row>
    <row r="51" spans="1:12" ht="15" customHeight="1">
      <c r="A51" s="58"/>
      <c r="B51" s="59"/>
      <c r="C51" s="59"/>
      <c r="D51" s="59"/>
      <c r="E51" s="59"/>
      <c r="F51" s="59"/>
      <c r="G51" s="59"/>
      <c r="H51" s="59"/>
      <c r="I51" s="59"/>
      <c r="J51" s="59"/>
      <c r="K51" s="59"/>
      <c r="L51" s="60"/>
    </row>
    <row r="52" spans="1:12" ht="15" customHeight="1">
      <c r="A52" s="61"/>
      <c r="B52" s="62"/>
      <c r="C52" s="63"/>
      <c r="D52" s="64"/>
      <c r="E52" s="62"/>
      <c r="F52" s="62"/>
      <c r="G52" s="62"/>
      <c r="H52" s="62"/>
      <c r="I52" s="62"/>
      <c r="J52" s="62"/>
      <c r="K52" s="62"/>
      <c r="L52" s="65"/>
    </row>
    <row r="53" spans="1:12" ht="15" customHeight="1">
      <c r="A53" s="66"/>
      <c r="B53" s="67"/>
      <c r="C53" s="67"/>
      <c r="D53" s="68"/>
      <c r="E53" s="67"/>
      <c r="F53" s="68"/>
      <c r="G53" s="69"/>
      <c r="H53" s="69"/>
      <c r="I53" s="70"/>
      <c r="J53" s="70"/>
      <c r="K53" s="70"/>
      <c r="L53" s="71"/>
    </row>
    <row r="54" spans="1:12" ht="15" customHeight="1"/>
    <row r="55" spans="1:12" ht="15" customHeight="1"/>
    <row r="56" spans="1:12" ht="15" customHeight="1"/>
    <row r="57" spans="1:12" ht="15" customHeight="1"/>
    <row r="58" spans="1:12" ht="15" customHeight="1"/>
    <row r="59" spans="1:12" ht="15" customHeight="1"/>
    <row r="60" spans="1:12" ht="15" customHeight="1"/>
    <row r="61" spans="1:12" ht="15" customHeight="1"/>
    <row r="62" spans="1:12" ht="15" customHeight="1"/>
    <row r="63" spans="1:12" ht="15" customHeight="1"/>
    <row r="64" spans="1:12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5" customHeight="1"/>
    <row r="408" spans="1:12" ht="12" customHeight="1">
      <c r="A408"/>
      <c r="B408"/>
      <c r="C408"/>
      <c r="D408"/>
      <c r="E408"/>
      <c r="F408"/>
      <c r="G408"/>
      <c r="H408"/>
      <c r="I408"/>
      <c r="J408"/>
      <c r="K408"/>
      <c r="L408"/>
    </row>
    <row r="409" spans="1:12" ht="12" customHeight="1">
      <c r="A409"/>
      <c r="B409"/>
      <c r="C409"/>
      <c r="D409"/>
      <c r="E409"/>
      <c r="F409"/>
      <c r="G409"/>
      <c r="H409"/>
      <c r="I409"/>
      <c r="J409"/>
      <c r="K409"/>
      <c r="L409"/>
    </row>
    <row r="410" spans="1:12" ht="12" customHeight="1">
      <c r="A410"/>
      <c r="B410"/>
      <c r="C410"/>
      <c r="D410"/>
      <c r="E410"/>
      <c r="F410"/>
      <c r="G410"/>
      <c r="H410"/>
      <c r="I410"/>
      <c r="J410"/>
      <c r="K410"/>
      <c r="L410"/>
    </row>
    <row r="480" spans="1:12" ht="12" customHeight="1">
      <c r="A480"/>
      <c r="B480"/>
      <c r="C480"/>
      <c r="D480"/>
      <c r="E480"/>
      <c r="F480"/>
      <c r="G480"/>
      <c r="H480"/>
      <c r="I480"/>
      <c r="J480"/>
      <c r="K480"/>
      <c r="L480"/>
    </row>
    <row r="481" spans="1:12" ht="12" customHeight="1">
      <c r="A481"/>
      <c r="B481"/>
      <c r="C481"/>
      <c r="D481"/>
      <c r="E481"/>
      <c r="F481"/>
      <c r="G481"/>
      <c r="H481"/>
      <c r="I481"/>
      <c r="J481"/>
      <c r="K481"/>
      <c r="L481"/>
    </row>
    <row r="482" spans="1:12" ht="12" customHeight="1">
      <c r="A482"/>
      <c r="B482"/>
      <c r="C482"/>
      <c r="D482"/>
      <c r="E482"/>
      <c r="F482"/>
      <c r="G482"/>
      <c r="H482"/>
      <c r="I482"/>
      <c r="J482"/>
      <c r="K482"/>
      <c r="L482"/>
    </row>
  </sheetData>
  <mergeCells count="2">
    <mergeCell ref="E4:L5"/>
    <mergeCell ref="C7:J7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Calculator_Click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8</xdr:col>
                    <xdr:colOff>0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Delete_Click">
                <anchor moveWithCells="1" sizeWithCells="1">
                  <from>
                    <xdr:col>9</xdr:col>
                    <xdr:colOff>0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CleaeAll_Click">
                <anchor moveWithCells="1" sizeWithCells="1">
                  <from>
                    <xdr:col>10</xdr:col>
                    <xdr:colOff>0</xdr:colOff>
                    <xdr:row>20</xdr:row>
                    <xdr:rowOff>0</xdr:rowOff>
                  </from>
                  <to>
                    <xdr:col>11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CleaeAll_Click">
                <anchor moveWithCells="1" sizeWithCells="1">
                  <from>
                    <xdr:col>10</xdr:col>
                    <xdr:colOff>504825</xdr:colOff>
                    <xdr:row>20</xdr:row>
                    <xdr:rowOff>0</xdr:rowOff>
                  </from>
                  <to>
                    <xdr:col>12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DBE66B2-9595-44AB-BFA4-FF074135F257}">
          <x14:formula1>
            <xm:f>Front!$E$3:$E$7</xm:f>
          </x14:formula1>
          <xm:sqref>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83396-04DB-4FD1-99C6-2A2C9C82CF64}">
  <sheetPr codeName="Sheet6"/>
  <dimension ref="A1:R482"/>
  <sheetViews>
    <sheetView zoomScale="130" zoomScaleNormal="130" workbookViewId="0">
      <selection activeCell="H19" sqref="H19"/>
    </sheetView>
  </sheetViews>
  <sheetFormatPr defaultColWidth="0" defaultRowHeight="12" customHeight="1"/>
  <cols>
    <col min="1" max="12" width="6.625" style="51" customWidth="1"/>
    <col min="13" max="18" width="0" style="51" hidden="1" customWidth="1"/>
    <col min="19" max="16384" width="6.625" style="51" hidden="1"/>
  </cols>
  <sheetData>
    <row r="1" spans="1:12" ht="12" customHeight="1">
      <c r="A1" s="52"/>
      <c r="B1" s="52"/>
      <c r="C1" s="52"/>
      <c r="D1" s="52"/>
    </row>
    <row r="2" spans="1:12" ht="12" customHeight="1">
      <c r="A2" s="52"/>
      <c r="B2" s="52"/>
      <c r="C2" s="52"/>
      <c r="D2" s="52"/>
    </row>
    <row r="3" spans="1:12" ht="12" customHeight="1">
      <c r="A3" s="52"/>
      <c r="B3" s="52"/>
      <c r="C3" s="52"/>
      <c r="D3" s="52"/>
    </row>
    <row r="4" spans="1:12" ht="12" customHeight="1">
      <c r="A4" s="52"/>
      <c r="B4" s="52"/>
      <c r="C4" s="52"/>
      <c r="D4" s="52"/>
      <c r="E4" s="86"/>
      <c r="F4" s="86"/>
      <c r="G4" s="86"/>
      <c r="H4" s="86"/>
      <c r="I4" s="86"/>
      <c r="J4" s="86"/>
      <c r="K4" s="86"/>
      <c r="L4" s="86"/>
    </row>
    <row r="5" spans="1:12" ht="12" customHeight="1">
      <c r="A5" s="52"/>
      <c r="B5" s="52"/>
      <c r="C5" s="52"/>
      <c r="D5" s="52"/>
      <c r="E5" s="86"/>
      <c r="F5" s="86"/>
      <c r="G5" s="86"/>
      <c r="H5" s="86"/>
      <c r="I5" s="86"/>
      <c r="J5" s="86"/>
      <c r="K5" s="86"/>
      <c r="L5" s="86"/>
    </row>
    <row r="7" spans="1:12" ht="12" customHeight="1">
      <c r="A7" s="53" t="s">
        <v>165</v>
      </c>
      <c r="C7" s="87" t="s">
        <v>181</v>
      </c>
      <c r="D7" s="87"/>
      <c r="E7" s="87"/>
      <c r="F7" s="87"/>
      <c r="G7" s="87"/>
      <c r="H7" s="87"/>
      <c r="I7" s="87"/>
      <c r="J7" s="87"/>
    </row>
    <row r="8" spans="1:12" s="73" customFormat="1" ht="12" customHeight="1">
      <c r="A8" s="73" t="s">
        <v>167</v>
      </c>
      <c r="C8" s="74" t="s">
        <v>166</v>
      </c>
      <c r="D8" s="74"/>
      <c r="E8" s="85">
        <v>10.5</v>
      </c>
      <c r="F8" s="75" t="s">
        <v>21</v>
      </c>
    </row>
    <row r="9" spans="1:12" s="73" customFormat="1" ht="12" customHeight="1">
      <c r="C9" s="74"/>
      <c r="D9" s="76" t="s">
        <v>182</v>
      </c>
      <c r="E9" s="73">
        <v>1.3</v>
      </c>
      <c r="F9" s="75"/>
    </row>
    <row r="10" spans="1:12" s="73" customFormat="1" ht="12" customHeight="1">
      <c r="D10" s="72" t="s">
        <v>32</v>
      </c>
      <c r="E10" s="77">
        <f>(1.025*9.81*E8+25)*E9</f>
        <v>169.75416250000001</v>
      </c>
      <c r="F10" s="73" t="s">
        <v>183</v>
      </c>
    </row>
    <row r="11" spans="1:12" s="73" customFormat="1" ht="12" customHeight="1">
      <c r="D11" s="72"/>
      <c r="E11" s="77"/>
    </row>
    <row r="12" spans="1:12" s="73" customFormat="1" ht="12" customHeight="1">
      <c r="A12" s="73" t="s">
        <v>169</v>
      </c>
      <c r="E12" s="83" t="s">
        <v>173</v>
      </c>
    </row>
    <row r="13" spans="1:12" s="73" customFormat="1" ht="12" customHeight="1">
      <c r="A13" s="73" t="s">
        <v>180</v>
      </c>
      <c r="B13" s="74"/>
      <c r="C13" s="74">
        <v>160</v>
      </c>
      <c r="D13" s="74" t="s">
        <v>168</v>
      </c>
      <c r="E13" s="78">
        <f>C13*VLOOKUP(E12,Front!E3:H7,3,FALSE)</f>
        <v>222.39999999999998</v>
      </c>
      <c r="F13" s="73" t="s">
        <v>184</v>
      </c>
    </row>
    <row r="14" spans="1:12" s="73" customFormat="1" ht="12" customHeight="1">
      <c r="D14" s="79" t="s">
        <v>185</v>
      </c>
      <c r="E14" s="72">
        <v>1.1499999999999999</v>
      </c>
    </row>
    <row r="15" spans="1:12" s="73" customFormat="1" ht="12" customHeight="1">
      <c r="D15" s="73" t="s">
        <v>186</v>
      </c>
      <c r="E15" s="80">
        <v>1</v>
      </c>
    </row>
    <row r="16" spans="1:12" s="73" customFormat="1" ht="12" customHeight="1"/>
    <row r="17" spans="1:12" s="73" customFormat="1" ht="12" customHeight="1">
      <c r="D17" s="74" t="s">
        <v>179</v>
      </c>
      <c r="E17" s="84">
        <v>0.7</v>
      </c>
      <c r="F17" s="75" t="s">
        <v>21</v>
      </c>
    </row>
    <row r="18" spans="1:12" s="73" customFormat="1" ht="12" customHeight="1">
      <c r="D18" s="74" t="s">
        <v>178</v>
      </c>
      <c r="E18" s="84">
        <v>4</v>
      </c>
      <c r="F18" s="75" t="s">
        <v>21</v>
      </c>
    </row>
    <row r="19" spans="1:12" s="73" customFormat="1" ht="12" customHeight="1">
      <c r="D19" s="74" t="s">
        <v>189</v>
      </c>
      <c r="E19" s="81">
        <v>12</v>
      </c>
    </row>
    <row r="20" spans="1:12" s="73" customFormat="1" ht="12" customHeight="1"/>
    <row r="21" spans="1:12" s="73" customFormat="1" ht="12" customHeight="1">
      <c r="I21" s="82">
        <v>2</v>
      </c>
    </row>
    <row r="22" spans="1:12" s="73" customFormat="1" ht="12" customHeight="1"/>
    <row r="23" spans="1:12" ht="12" customHeight="1">
      <c r="A23" s="56"/>
      <c r="B23" s="56"/>
      <c r="C23" s="56"/>
      <c r="D23" s="56"/>
      <c r="E23" s="56"/>
      <c r="F23" s="56"/>
      <c r="G23" s="56"/>
      <c r="H23" s="56"/>
      <c r="I23" s="56"/>
      <c r="J23" s="56"/>
      <c r="K23" s="56"/>
      <c r="L23" s="56"/>
    </row>
    <row r="24" spans="1:12" ht="15" customHeight="1">
      <c r="A24" s="57">
        <v>1</v>
      </c>
      <c r="B24" s="55" t="s">
        <v>181</v>
      </c>
      <c r="C24" s="59"/>
      <c r="D24" s="59"/>
      <c r="E24" s="59"/>
      <c r="F24" s="59"/>
      <c r="G24" s="59"/>
      <c r="H24" s="59"/>
      <c r="I24" s="59"/>
      <c r="J24" s="59"/>
      <c r="K24" s="59"/>
      <c r="L24" s="60"/>
    </row>
    <row r="25" spans="1:12" ht="15" customHeight="1">
      <c r="A25" s="61" t="s">
        <v>190</v>
      </c>
      <c r="B25" s="62" t="s">
        <v>191</v>
      </c>
      <c r="C25" s="63" t="s">
        <v>192</v>
      </c>
      <c r="D25" s="64" t="s">
        <v>193</v>
      </c>
      <c r="E25" s="62" t="s">
        <v>194</v>
      </c>
      <c r="F25" s="62" t="s">
        <v>195</v>
      </c>
      <c r="G25" s="62" t="s">
        <v>196</v>
      </c>
      <c r="H25" s="62" t="s">
        <v>197</v>
      </c>
      <c r="I25" s="62" t="s">
        <v>188</v>
      </c>
      <c r="J25" s="62" t="s">
        <v>187</v>
      </c>
      <c r="K25" s="62" t="s">
        <v>199</v>
      </c>
      <c r="L25" s="65" t="s">
        <v>200</v>
      </c>
    </row>
    <row r="26" spans="1:12" ht="15" customHeight="1">
      <c r="A26" s="66" t="s">
        <v>174</v>
      </c>
      <c r="B26" s="67">
        <f>VLOOKUP(A26,Front!E3:G7,2,FALSE)</f>
        <v>355</v>
      </c>
      <c r="C26" s="67">
        <v>1.1499999999999999</v>
      </c>
      <c r="D26" s="68">
        <v>222.39999999999998</v>
      </c>
      <c r="E26" s="67">
        <v>1.3</v>
      </c>
      <c r="F26" s="68">
        <v>169.75416250000001</v>
      </c>
      <c r="G26" s="69">
        <v>0.7</v>
      </c>
      <c r="H26" s="69">
        <v>4</v>
      </c>
      <c r="I26" s="70">
        <v>12</v>
      </c>
      <c r="J26" s="70">
        <v>1</v>
      </c>
      <c r="K26" s="70">
        <v>5.8168201951838414</v>
      </c>
      <c r="L26" s="71">
        <v>115.95225463940541</v>
      </c>
    </row>
    <row r="27" spans="1:12" ht="15" customHeight="1">
      <c r="A27" s="57">
        <v>2</v>
      </c>
      <c r="B27" s="55" t="s">
        <v>181</v>
      </c>
      <c r="C27" s="59"/>
      <c r="D27" s="59"/>
      <c r="E27" s="59"/>
      <c r="F27" s="59"/>
      <c r="G27" s="59"/>
      <c r="H27" s="59"/>
      <c r="I27" s="59"/>
      <c r="J27" s="59"/>
      <c r="K27" s="59"/>
      <c r="L27" s="60"/>
    </row>
    <row r="28" spans="1:12" ht="15" customHeight="1">
      <c r="A28" s="61" t="s">
        <v>190</v>
      </c>
      <c r="B28" s="62" t="s">
        <v>191</v>
      </c>
      <c r="C28" s="63" t="s">
        <v>192</v>
      </c>
      <c r="D28" s="64" t="s">
        <v>193</v>
      </c>
      <c r="E28" s="62" t="s">
        <v>194</v>
      </c>
      <c r="F28" s="62" t="s">
        <v>195</v>
      </c>
      <c r="G28" s="62" t="s">
        <v>196</v>
      </c>
      <c r="H28" s="62" t="s">
        <v>197</v>
      </c>
      <c r="I28" s="62" t="s">
        <v>188</v>
      </c>
      <c r="J28" s="62" t="s">
        <v>187</v>
      </c>
      <c r="K28" s="62" t="s">
        <v>201</v>
      </c>
      <c r="L28" s="65" t="s">
        <v>202</v>
      </c>
    </row>
    <row r="29" spans="1:12" ht="15" customHeight="1">
      <c r="A29" s="66" t="s">
        <v>174</v>
      </c>
      <c r="B29" s="67">
        <f>VLOOKUP(A29,Front!E3:G7,2,FALSE)</f>
        <v>355</v>
      </c>
      <c r="C29" s="67">
        <v>1.1499999999999999</v>
      </c>
      <c r="D29" s="68">
        <v>222.39999999999998</v>
      </c>
      <c r="E29" s="67">
        <v>1.3</v>
      </c>
      <c r="F29" s="68">
        <v>169.75416250000001</v>
      </c>
      <c r="G29" s="69">
        <v>0.7</v>
      </c>
      <c r="H29" s="69">
        <v>4</v>
      </c>
      <c r="I29" s="70">
        <v>12</v>
      </c>
      <c r="J29" s="70">
        <v>1</v>
      </c>
      <c r="K29" s="70">
        <v>5.8168201951838414</v>
      </c>
      <c r="L29" s="71">
        <v>115.95225463940541</v>
      </c>
    </row>
    <row r="30" spans="1:12" ht="15" customHeight="1">
      <c r="A30" s="57">
        <v>3</v>
      </c>
      <c r="B30" s="55" t="s">
        <v>181</v>
      </c>
      <c r="C30" s="59"/>
      <c r="D30" s="59"/>
      <c r="E30" s="59"/>
      <c r="F30" s="59"/>
      <c r="G30" s="59"/>
      <c r="H30" s="59"/>
      <c r="I30" s="59"/>
      <c r="J30" s="59"/>
      <c r="K30" s="59"/>
      <c r="L30" s="60"/>
    </row>
    <row r="31" spans="1:12" ht="15" customHeight="1">
      <c r="A31" s="61" t="s">
        <v>190</v>
      </c>
      <c r="B31" s="62" t="s">
        <v>191</v>
      </c>
      <c r="C31" s="63" t="s">
        <v>192</v>
      </c>
      <c r="D31" s="64" t="s">
        <v>193</v>
      </c>
      <c r="E31" s="62" t="s">
        <v>194</v>
      </c>
      <c r="F31" s="62" t="s">
        <v>195</v>
      </c>
      <c r="G31" s="62" t="s">
        <v>196</v>
      </c>
      <c r="H31" s="62" t="s">
        <v>197</v>
      </c>
      <c r="I31" s="62" t="s">
        <v>188</v>
      </c>
      <c r="J31" s="62" t="s">
        <v>187</v>
      </c>
      <c r="K31" s="62" t="s">
        <v>201</v>
      </c>
      <c r="L31" s="65" t="s">
        <v>198</v>
      </c>
    </row>
    <row r="32" spans="1:12" ht="15" customHeight="1">
      <c r="A32" s="66" t="s">
        <v>174</v>
      </c>
      <c r="B32" s="67">
        <f>VLOOKUP(A32,Front!E3:G7,2,FALSE)</f>
        <v>355</v>
      </c>
      <c r="C32" s="67">
        <v>1.1499999999999999</v>
      </c>
      <c r="D32" s="68">
        <v>222.39999999999998</v>
      </c>
      <c r="E32" s="67">
        <v>1.3</v>
      </c>
      <c r="F32" s="68">
        <v>169.75416250000001</v>
      </c>
      <c r="G32" s="69">
        <v>0.7</v>
      </c>
      <c r="H32" s="69">
        <v>4</v>
      </c>
      <c r="I32" s="70">
        <v>12</v>
      </c>
      <c r="J32" s="70">
        <v>1</v>
      </c>
      <c r="K32" s="70">
        <v>1.7809939111211033</v>
      </c>
      <c r="L32" s="71">
        <v>115.95225463940541</v>
      </c>
    </row>
    <row r="33" spans="1:12" ht="15" customHeight="1">
      <c r="A33" s="57"/>
      <c r="B33" s="55"/>
      <c r="C33" s="59"/>
      <c r="D33" s="59"/>
      <c r="E33" s="59"/>
      <c r="F33" s="59"/>
      <c r="G33" s="59"/>
      <c r="H33" s="59"/>
      <c r="I33" s="59"/>
      <c r="J33" s="59"/>
      <c r="K33" s="59"/>
      <c r="L33" s="60"/>
    </row>
    <row r="34" spans="1:12" ht="15" customHeight="1">
      <c r="A34" s="61"/>
      <c r="B34" s="62"/>
      <c r="C34" s="63"/>
      <c r="D34" s="64"/>
      <c r="E34" s="62"/>
      <c r="F34" s="62"/>
      <c r="G34" s="62"/>
      <c r="H34" s="62"/>
      <c r="I34" s="62"/>
      <c r="J34" s="62"/>
      <c r="K34" s="62"/>
      <c r="L34" s="65"/>
    </row>
    <row r="35" spans="1:12" ht="15" customHeight="1">
      <c r="A35" s="66"/>
      <c r="B35" s="67"/>
      <c r="C35" s="67"/>
      <c r="D35" s="68"/>
      <c r="E35" s="67"/>
      <c r="F35" s="68"/>
      <c r="G35" s="69"/>
      <c r="H35" s="69"/>
      <c r="I35" s="70"/>
      <c r="J35" s="70"/>
      <c r="K35" s="70"/>
      <c r="L35" s="71"/>
    </row>
    <row r="36" spans="1:12" ht="15" customHeight="1">
      <c r="A36" s="57"/>
      <c r="B36" s="55"/>
      <c r="C36" s="59"/>
      <c r="D36" s="59"/>
      <c r="E36" s="59"/>
      <c r="F36" s="59"/>
      <c r="G36" s="59"/>
      <c r="H36" s="59"/>
      <c r="I36" s="59"/>
      <c r="J36" s="59"/>
      <c r="K36" s="59"/>
      <c r="L36" s="60"/>
    </row>
    <row r="37" spans="1:12" ht="15" customHeight="1">
      <c r="A37" s="61"/>
      <c r="B37" s="62"/>
      <c r="C37" s="63"/>
      <c r="D37" s="64"/>
      <c r="E37" s="62"/>
      <c r="F37" s="62"/>
      <c r="G37" s="62"/>
      <c r="H37" s="62"/>
      <c r="I37" s="62"/>
      <c r="J37" s="62"/>
      <c r="K37" s="62"/>
      <c r="L37" s="65"/>
    </row>
    <row r="38" spans="1:12" ht="15" customHeight="1">
      <c r="A38" s="66"/>
      <c r="B38" s="67"/>
      <c r="C38" s="67"/>
      <c r="D38" s="68"/>
      <c r="E38" s="67"/>
      <c r="F38" s="68"/>
      <c r="G38" s="69"/>
      <c r="H38" s="69"/>
      <c r="I38" s="70"/>
      <c r="J38" s="70"/>
      <c r="K38" s="70"/>
      <c r="L38" s="71"/>
    </row>
    <row r="39" spans="1:12" ht="15" customHeight="1">
      <c r="A39" s="57"/>
      <c r="B39" s="55"/>
      <c r="C39" s="59"/>
      <c r="D39" s="59"/>
      <c r="E39" s="59"/>
      <c r="F39" s="59"/>
      <c r="G39" s="59"/>
      <c r="H39" s="59"/>
      <c r="I39" s="59"/>
      <c r="J39" s="59"/>
      <c r="K39" s="59"/>
      <c r="L39" s="60"/>
    </row>
    <row r="40" spans="1:12" ht="15" customHeight="1">
      <c r="A40" s="61"/>
      <c r="B40" s="62"/>
      <c r="C40" s="63"/>
      <c r="D40" s="64"/>
      <c r="E40" s="62"/>
      <c r="F40" s="62"/>
      <c r="G40" s="62"/>
      <c r="H40" s="62"/>
      <c r="I40" s="62"/>
      <c r="J40" s="62"/>
      <c r="K40" s="62"/>
      <c r="L40" s="65"/>
    </row>
    <row r="41" spans="1:12" ht="15" customHeight="1">
      <c r="A41" s="66"/>
      <c r="B41" s="67"/>
      <c r="C41" s="67"/>
      <c r="D41" s="68"/>
      <c r="E41" s="67"/>
      <c r="F41" s="68"/>
      <c r="G41" s="69"/>
      <c r="H41" s="69"/>
      <c r="I41" s="70"/>
      <c r="J41" s="70"/>
      <c r="K41" s="70"/>
      <c r="L41" s="71"/>
    </row>
    <row r="42" spans="1:12" ht="15" customHeight="1">
      <c r="A42" s="58"/>
      <c r="B42" s="59"/>
      <c r="C42" s="59"/>
      <c r="D42" s="59"/>
      <c r="E42" s="59"/>
      <c r="F42" s="59"/>
      <c r="G42" s="59"/>
      <c r="H42" s="59"/>
      <c r="I42" s="59"/>
      <c r="J42" s="59"/>
      <c r="K42" s="59"/>
      <c r="L42" s="60"/>
    </row>
    <row r="43" spans="1:12" ht="15" customHeight="1">
      <c r="A43" s="61"/>
      <c r="B43" s="62"/>
      <c r="C43" s="63"/>
      <c r="D43" s="64"/>
      <c r="E43" s="62"/>
      <c r="F43" s="62"/>
      <c r="G43" s="62"/>
      <c r="H43" s="62"/>
      <c r="I43" s="62"/>
      <c r="J43" s="62"/>
      <c r="K43" s="62"/>
      <c r="L43" s="65"/>
    </row>
    <row r="44" spans="1:12" ht="15" customHeight="1">
      <c r="A44" s="66"/>
      <c r="B44" s="67"/>
      <c r="C44" s="67"/>
      <c r="D44" s="68"/>
      <c r="E44" s="67"/>
      <c r="F44" s="68"/>
      <c r="G44" s="69"/>
      <c r="H44" s="69"/>
      <c r="I44" s="70"/>
      <c r="J44" s="70"/>
      <c r="K44" s="70"/>
      <c r="L44" s="71"/>
    </row>
    <row r="45" spans="1:12" ht="15" customHeight="1">
      <c r="A45" s="58"/>
      <c r="B45" s="59"/>
      <c r="C45" s="59"/>
      <c r="D45" s="59"/>
      <c r="E45" s="59"/>
      <c r="F45" s="59"/>
      <c r="G45" s="59"/>
      <c r="H45" s="59"/>
      <c r="I45" s="59"/>
      <c r="J45" s="59"/>
      <c r="K45" s="59"/>
      <c r="L45" s="60"/>
    </row>
    <row r="46" spans="1:12" ht="15" customHeight="1">
      <c r="A46" s="61"/>
      <c r="B46" s="62"/>
      <c r="C46" s="63"/>
      <c r="D46" s="64"/>
      <c r="E46" s="62"/>
      <c r="F46" s="62"/>
      <c r="G46" s="62"/>
      <c r="H46" s="62"/>
      <c r="I46" s="62"/>
      <c r="J46" s="62"/>
      <c r="K46" s="62"/>
      <c r="L46" s="65"/>
    </row>
    <row r="47" spans="1:12" ht="15" customHeight="1">
      <c r="A47" s="66"/>
      <c r="B47" s="67"/>
      <c r="C47" s="67"/>
      <c r="D47" s="68"/>
      <c r="E47" s="67"/>
      <c r="F47" s="68"/>
      <c r="G47" s="69"/>
      <c r="H47" s="69"/>
      <c r="I47" s="70"/>
      <c r="J47" s="70"/>
      <c r="K47" s="70"/>
      <c r="L47" s="71"/>
    </row>
    <row r="48" spans="1:12" ht="15" customHeight="1">
      <c r="A48" s="58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60"/>
    </row>
    <row r="49" spans="1:12" ht="15" customHeight="1">
      <c r="A49" s="61"/>
      <c r="B49" s="62"/>
      <c r="C49" s="63"/>
      <c r="D49" s="64"/>
      <c r="E49" s="62"/>
      <c r="F49" s="62"/>
      <c r="G49" s="62"/>
      <c r="H49" s="62"/>
      <c r="I49" s="62"/>
      <c r="J49" s="62"/>
      <c r="K49" s="62"/>
      <c r="L49" s="65"/>
    </row>
    <row r="50" spans="1:12" ht="15" customHeight="1">
      <c r="A50" s="66"/>
      <c r="B50" s="67"/>
      <c r="C50" s="67"/>
      <c r="D50" s="68"/>
      <c r="E50" s="67"/>
      <c r="F50" s="68"/>
      <c r="G50" s="69"/>
      <c r="H50" s="69"/>
      <c r="I50" s="70"/>
      <c r="J50" s="70"/>
      <c r="K50" s="70"/>
      <c r="L50" s="71"/>
    </row>
    <row r="51" spans="1:12" ht="15" customHeight="1">
      <c r="A51" s="58"/>
      <c r="B51" s="59"/>
      <c r="C51" s="59"/>
      <c r="D51" s="59"/>
      <c r="E51" s="59"/>
      <c r="F51" s="59"/>
      <c r="G51" s="59"/>
      <c r="H51" s="59"/>
      <c r="I51" s="59"/>
      <c r="J51" s="59"/>
      <c r="K51" s="59"/>
      <c r="L51" s="60"/>
    </row>
    <row r="52" spans="1:12" ht="15" customHeight="1">
      <c r="A52" s="61"/>
      <c r="B52" s="62"/>
      <c r="C52" s="63"/>
      <c r="D52" s="64"/>
      <c r="E52" s="62"/>
      <c r="F52" s="62"/>
      <c r="G52" s="62"/>
      <c r="H52" s="62"/>
      <c r="I52" s="62"/>
      <c r="J52" s="62"/>
      <c r="K52" s="62"/>
      <c r="L52" s="65"/>
    </row>
    <row r="53" spans="1:12" ht="15" customHeight="1">
      <c r="A53" s="66"/>
      <c r="B53" s="67"/>
      <c r="C53" s="67"/>
      <c r="D53" s="68"/>
      <c r="E53" s="67"/>
      <c r="F53" s="68"/>
      <c r="G53" s="69"/>
      <c r="H53" s="69"/>
      <c r="I53" s="70"/>
      <c r="J53" s="70"/>
      <c r="K53" s="70"/>
      <c r="L53" s="71"/>
    </row>
    <row r="54" spans="1:12" ht="15" customHeight="1"/>
    <row r="55" spans="1:12" ht="15" customHeight="1"/>
    <row r="56" spans="1:12" ht="15" customHeight="1"/>
    <row r="57" spans="1:12" ht="15" customHeight="1"/>
    <row r="58" spans="1:12" ht="15" customHeight="1"/>
    <row r="59" spans="1:12" ht="15" customHeight="1"/>
    <row r="60" spans="1:12" ht="15" customHeight="1"/>
    <row r="61" spans="1:12" ht="15" customHeight="1"/>
    <row r="62" spans="1:12" ht="15" customHeight="1"/>
    <row r="63" spans="1:12" ht="15" customHeight="1"/>
    <row r="64" spans="1:12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5" customHeight="1"/>
    <row r="408" spans="1:12" ht="12" customHeight="1">
      <c r="A408"/>
      <c r="B408"/>
      <c r="C408"/>
      <c r="D408"/>
      <c r="E408"/>
      <c r="F408"/>
      <c r="G408"/>
      <c r="H408"/>
      <c r="I408"/>
      <c r="J408"/>
      <c r="K408"/>
      <c r="L408"/>
    </row>
    <row r="409" spans="1:12" ht="12" customHeight="1">
      <c r="A409"/>
      <c r="B409"/>
      <c r="C409"/>
      <c r="D409"/>
      <c r="E409"/>
      <c r="F409"/>
      <c r="G409"/>
      <c r="H409"/>
      <c r="I409"/>
      <c r="J409"/>
      <c r="K409"/>
      <c r="L409"/>
    </row>
    <row r="410" spans="1:12" ht="12" customHeight="1">
      <c r="A410"/>
      <c r="B410"/>
      <c r="C410"/>
      <c r="D410"/>
      <c r="E410"/>
      <c r="F410"/>
      <c r="G410"/>
      <c r="H410"/>
      <c r="I410"/>
      <c r="J410"/>
      <c r="K410"/>
      <c r="L410"/>
    </row>
    <row r="480" spans="1:12" ht="12" customHeight="1">
      <c r="A480"/>
      <c r="B480"/>
      <c r="C480"/>
      <c r="D480"/>
      <c r="E480"/>
      <c r="F480"/>
      <c r="G480"/>
      <c r="H480"/>
      <c r="I480"/>
      <c r="J480"/>
      <c r="K480"/>
      <c r="L480"/>
    </row>
    <row r="481" spans="1:12" ht="12" customHeight="1">
      <c r="A481"/>
      <c r="B481"/>
      <c r="C481"/>
      <c r="D481"/>
      <c r="E481"/>
      <c r="F481"/>
      <c r="G481"/>
      <c r="H481"/>
      <c r="I481"/>
      <c r="J481"/>
      <c r="K481"/>
      <c r="L481"/>
    </row>
    <row r="482" spans="1:12" ht="12" customHeight="1">
      <c r="A482"/>
      <c r="B482"/>
      <c r="C482"/>
      <c r="D482"/>
      <c r="E482"/>
      <c r="F482"/>
      <c r="G482"/>
      <c r="H482"/>
      <c r="I482"/>
      <c r="J482"/>
      <c r="K482"/>
      <c r="L482"/>
    </row>
  </sheetData>
  <mergeCells count="2">
    <mergeCell ref="E4:L5"/>
    <mergeCell ref="C7:J7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alculator2_Click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8</xdr:col>
                    <xdr:colOff>0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Delete_Click">
                <anchor moveWithCells="1" sizeWithCells="1">
                  <from>
                    <xdr:col>9</xdr:col>
                    <xdr:colOff>0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CleaeAll_Click">
                <anchor moveWithCells="1" sizeWithCells="1">
                  <from>
                    <xdr:col>10</xdr:col>
                    <xdr:colOff>0</xdr:colOff>
                    <xdr:row>20</xdr:row>
                    <xdr:rowOff>0</xdr:rowOff>
                  </from>
                  <to>
                    <xdr:col>11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leaeAll_Click">
                <anchor moveWithCells="1" sizeWithCells="1">
                  <from>
                    <xdr:col>10</xdr:col>
                    <xdr:colOff>504825</xdr:colOff>
                    <xdr:row>20</xdr:row>
                    <xdr:rowOff>0</xdr:rowOff>
                  </from>
                  <to>
                    <xdr:col>12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EAE7F93-C053-4BEC-B2EB-5EEF9146D01D}">
          <x14:formula1>
            <xm:f>Front!$E$3:$E$7</xm:f>
          </x14:formula1>
          <xm:sqref>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3D0AC-FD3F-4C51-87A8-8E175541CAF4}">
  <sheetPr codeName="Sheet3"/>
  <dimension ref="B1:K37"/>
  <sheetViews>
    <sheetView showGridLines="0" workbookViewId="0">
      <selection activeCell="D37" sqref="D37"/>
    </sheetView>
  </sheetViews>
  <sheetFormatPr defaultRowHeight="16.5"/>
  <cols>
    <col min="1" max="24" width="12.75" customWidth="1"/>
  </cols>
  <sheetData>
    <row r="1" spans="2:11">
      <c r="B1" s="27"/>
      <c r="C1" s="27"/>
      <c r="D1" s="27"/>
      <c r="E1" s="27"/>
      <c r="F1" s="27"/>
      <c r="G1" s="27"/>
    </row>
    <row r="2" spans="2:11">
      <c r="B2" s="88" t="s">
        <v>122</v>
      </c>
      <c r="C2" s="88"/>
      <c r="D2" s="5" t="s">
        <v>123</v>
      </c>
      <c r="E2" s="88" t="s">
        <v>124</v>
      </c>
      <c r="F2" s="88"/>
    </row>
    <row r="3" spans="2:11" ht="57">
      <c r="B3" s="29" t="s">
        <v>120</v>
      </c>
      <c r="C3" s="30" t="s">
        <v>121</v>
      </c>
      <c r="D3" s="30" t="s">
        <v>145</v>
      </c>
      <c r="E3" s="30" t="s">
        <v>125</v>
      </c>
      <c r="F3" s="30" t="s">
        <v>126</v>
      </c>
    </row>
    <row r="4" spans="2:11" ht="42.75">
      <c r="B4" s="28" t="s">
        <v>146</v>
      </c>
      <c r="C4" s="28" t="s">
        <v>114</v>
      </c>
      <c r="D4" s="28">
        <v>355</v>
      </c>
      <c r="E4" s="28">
        <v>1.36</v>
      </c>
      <c r="F4" s="28">
        <v>0.75</v>
      </c>
    </row>
    <row r="5" spans="2:11">
      <c r="B5" s="93" t="s">
        <v>115</v>
      </c>
      <c r="C5" s="28" t="s">
        <v>116</v>
      </c>
      <c r="D5" s="28">
        <v>375</v>
      </c>
      <c r="E5" s="28">
        <v>1.42</v>
      </c>
      <c r="F5" s="28">
        <v>0.75</v>
      </c>
    </row>
    <row r="6" spans="2:11">
      <c r="B6" s="93"/>
      <c r="C6" s="5" t="s">
        <v>117</v>
      </c>
      <c r="D6" s="5">
        <v>375</v>
      </c>
      <c r="E6" s="5">
        <v>1.42</v>
      </c>
      <c r="F6" s="5">
        <v>0.88</v>
      </c>
    </row>
    <row r="7" spans="2:11">
      <c r="B7" s="93"/>
      <c r="C7" s="5" t="s">
        <v>118</v>
      </c>
      <c r="D7" s="5">
        <v>375</v>
      </c>
      <c r="E7" s="5">
        <v>1.42</v>
      </c>
      <c r="F7" s="5">
        <v>0.96</v>
      </c>
    </row>
    <row r="8" spans="2:11">
      <c r="B8" s="93"/>
      <c r="C8" s="5" t="s">
        <v>119</v>
      </c>
      <c r="D8" s="5">
        <v>390</v>
      </c>
      <c r="E8" s="5">
        <v>1.46</v>
      </c>
      <c r="F8" s="5">
        <v>1</v>
      </c>
    </row>
    <row r="12" spans="2:11" ht="17.45" customHeight="1">
      <c r="B12" s="90" t="s">
        <v>132</v>
      </c>
      <c r="C12" s="91"/>
      <c r="D12" s="92" t="s">
        <v>134</v>
      </c>
      <c r="E12" s="92"/>
      <c r="F12" s="91" t="s">
        <v>133</v>
      </c>
      <c r="G12" s="91"/>
      <c r="H12" s="35"/>
      <c r="I12" s="35"/>
      <c r="J12" s="35"/>
      <c r="K12" s="36"/>
    </row>
    <row r="13" spans="2:11">
      <c r="B13" s="32" t="s">
        <v>127</v>
      </c>
      <c r="C13" s="33" t="s">
        <v>128</v>
      </c>
      <c r="D13" s="37" t="s">
        <v>135</v>
      </c>
      <c r="E13" s="34" t="s">
        <v>136</v>
      </c>
      <c r="F13" s="33" t="s">
        <v>128</v>
      </c>
      <c r="G13" s="33" t="s">
        <v>151</v>
      </c>
      <c r="H13" s="33" t="s">
        <v>137</v>
      </c>
      <c r="I13" s="33" t="s">
        <v>143</v>
      </c>
      <c r="J13" s="33" t="s">
        <v>144</v>
      </c>
      <c r="K13" s="38" t="s">
        <v>149</v>
      </c>
    </row>
    <row r="14" spans="2:11">
      <c r="B14" s="39" t="s">
        <v>129</v>
      </c>
      <c r="C14" s="40" t="s">
        <v>130</v>
      </c>
      <c r="D14" s="40" t="s">
        <v>118</v>
      </c>
      <c r="E14" s="40">
        <f>VLOOKUP(D14,$C$4:$F$8,2,FALSE)</f>
        <v>375</v>
      </c>
      <c r="F14" s="40">
        <v>12</v>
      </c>
      <c r="G14" s="40">
        <v>1</v>
      </c>
      <c r="H14" s="40">
        <f>VLOOKUP(D14,$C$4:$F$8,4,FALSE)</f>
        <v>0.96</v>
      </c>
      <c r="I14" s="89" t="s">
        <v>131</v>
      </c>
      <c r="J14" s="89"/>
      <c r="K14" s="41"/>
    </row>
    <row r="15" spans="2:11">
      <c r="B15" s="39" t="s">
        <v>129</v>
      </c>
      <c r="C15" s="40" t="s">
        <v>150</v>
      </c>
      <c r="D15" s="40" t="s">
        <v>118</v>
      </c>
      <c r="E15" s="40">
        <f>VLOOKUP(D15,$C$4:$F$8,2,FALSE)</f>
        <v>375</v>
      </c>
      <c r="F15" s="40">
        <v>10</v>
      </c>
      <c r="G15" s="40">
        <v>2</v>
      </c>
      <c r="H15" s="40">
        <f>VLOOKUP(D15,$C$4:$F$8,4,FALSE)</f>
        <v>0.96</v>
      </c>
      <c r="I15" s="42">
        <f>0.43*H15*(F15-G15)</f>
        <v>3.3024</v>
      </c>
      <c r="J15" s="43">
        <f>I15/COS(RADIANS(45))</f>
        <v>4.6702988683809084</v>
      </c>
      <c r="K15" s="50">
        <f>MROUND(J15,0.5)</f>
        <v>4.5</v>
      </c>
    </row>
    <row r="16" spans="2:11">
      <c r="B16" s="39" t="s">
        <v>129</v>
      </c>
      <c r="C16" s="40" t="s">
        <v>140</v>
      </c>
      <c r="D16" s="40" t="s">
        <v>118</v>
      </c>
      <c r="E16" s="40">
        <f t="shared" ref="E16:E27" si="0">VLOOKUP(D16,$C$4:$F$8,2,FALSE)</f>
        <v>375</v>
      </c>
      <c r="F16" s="40">
        <v>10</v>
      </c>
      <c r="G16" s="40">
        <v>2</v>
      </c>
      <c r="H16" s="40">
        <f t="shared" ref="H16:H27" si="1">VLOOKUP(D16,$C$4:$F$8,4,FALSE)</f>
        <v>0.96</v>
      </c>
      <c r="I16" s="42">
        <f t="shared" ref="I16:I18" si="2">0.43*H16*(F16-G16)</f>
        <v>3.3024</v>
      </c>
      <c r="J16" s="43">
        <f>I16/COS(RADIANS(45))</f>
        <v>4.6702988683809084</v>
      </c>
      <c r="K16" s="50">
        <f t="shared" ref="K16:K26" si="3">MROUND(J16,0.5)</f>
        <v>4.5</v>
      </c>
    </row>
    <row r="17" spans="2:11">
      <c r="B17" s="39" t="s">
        <v>129</v>
      </c>
      <c r="C17" s="40" t="s">
        <v>141</v>
      </c>
      <c r="D17" s="40" t="s">
        <v>118</v>
      </c>
      <c r="E17" s="40">
        <f t="shared" si="0"/>
        <v>375</v>
      </c>
      <c r="F17" s="40">
        <v>11</v>
      </c>
      <c r="G17" s="40">
        <v>2</v>
      </c>
      <c r="H17" s="40">
        <f t="shared" si="1"/>
        <v>0.96</v>
      </c>
      <c r="I17" s="42">
        <f t="shared" si="2"/>
        <v>3.7151999999999998</v>
      </c>
      <c r="J17" s="43">
        <f>I17/COS(RADIANS(45))</f>
        <v>5.2540862269285222</v>
      </c>
      <c r="K17" s="50">
        <f t="shared" si="3"/>
        <v>5.5</v>
      </c>
    </row>
    <row r="18" spans="2:11">
      <c r="B18" s="39" t="s">
        <v>129</v>
      </c>
      <c r="C18" s="40" t="s">
        <v>148</v>
      </c>
      <c r="D18" s="40" t="s">
        <v>118</v>
      </c>
      <c r="E18" s="40">
        <f t="shared" si="0"/>
        <v>375</v>
      </c>
      <c r="F18" s="40">
        <v>12</v>
      </c>
      <c r="G18" s="40">
        <v>2</v>
      </c>
      <c r="H18" s="40">
        <f t="shared" si="1"/>
        <v>0.96</v>
      </c>
      <c r="I18" s="42">
        <f t="shared" si="2"/>
        <v>4.1280000000000001</v>
      </c>
      <c r="J18" s="43">
        <f>I18/COS(RADIANS(45))</f>
        <v>5.8378735854761361</v>
      </c>
      <c r="K18" s="50">
        <f t="shared" ref="K18" si="4">MROUND(J18,0.5)</f>
        <v>6</v>
      </c>
    </row>
    <row r="19" spans="2:11">
      <c r="B19" s="39" t="s">
        <v>138</v>
      </c>
      <c r="C19" s="40" t="s">
        <v>130</v>
      </c>
      <c r="D19" s="40" t="s">
        <v>118</v>
      </c>
      <c r="E19" s="40">
        <f t="shared" si="0"/>
        <v>375</v>
      </c>
      <c r="F19" s="40">
        <v>12</v>
      </c>
      <c r="G19" s="40">
        <v>1</v>
      </c>
      <c r="H19" s="40">
        <f t="shared" si="1"/>
        <v>0.96</v>
      </c>
      <c r="I19" s="89" t="s">
        <v>131</v>
      </c>
      <c r="J19" s="89"/>
      <c r="K19" s="41"/>
    </row>
    <row r="20" spans="2:11">
      <c r="B20" s="39" t="s">
        <v>138</v>
      </c>
      <c r="C20" s="40" t="s">
        <v>150</v>
      </c>
      <c r="D20" s="40" t="s">
        <v>118</v>
      </c>
      <c r="E20" s="40">
        <f t="shared" si="0"/>
        <v>375</v>
      </c>
      <c r="F20" s="40">
        <v>10</v>
      </c>
      <c r="G20" s="40">
        <v>2</v>
      </c>
      <c r="H20" s="40">
        <f t="shared" si="1"/>
        <v>0.96</v>
      </c>
      <c r="I20" s="42">
        <f t="shared" ref="I20:I27" si="5">0.43*H20*(F20-G20)</f>
        <v>3.3024</v>
      </c>
      <c r="J20" s="43">
        <f>I20/COS(RADIANS(45))</f>
        <v>4.6702988683809084</v>
      </c>
      <c r="K20" s="50">
        <f t="shared" si="3"/>
        <v>4.5</v>
      </c>
    </row>
    <row r="21" spans="2:11">
      <c r="B21" s="39" t="s">
        <v>138</v>
      </c>
      <c r="C21" s="40" t="s">
        <v>148</v>
      </c>
      <c r="D21" s="40" t="s">
        <v>118</v>
      </c>
      <c r="E21" s="40">
        <f t="shared" si="0"/>
        <v>375</v>
      </c>
      <c r="F21" s="40">
        <v>12</v>
      </c>
      <c r="G21" s="40">
        <v>2</v>
      </c>
      <c r="H21" s="40">
        <f t="shared" si="1"/>
        <v>0.96</v>
      </c>
      <c r="I21" s="42">
        <f t="shared" si="5"/>
        <v>4.1280000000000001</v>
      </c>
      <c r="J21" s="43">
        <f>I21/COS(RADIANS(45))</f>
        <v>5.8378735854761361</v>
      </c>
      <c r="K21" s="50">
        <f t="shared" si="3"/>
        <v>6</v>
      </c>
    </row>
    <row r="22" spans="2:11">
      <c r="B22" s="39" t="s">
        <v>138</v>
      </c>
      <c r="C22" s="40" t="s">
        <v>147</v>
      </c>
      <c r="D22" s="40" t="s">
        <v>118</v>
      </c>
      <c r="E22" s="40">
        <f t="shared" si="0"/>
        <v>375</v>
      </c>
      <c r="F22" s="40">
        <v>11</v>
      </c>
      <c r="G22" s="40">
        <v>2</v>
      </c>
      <c r="H22" s="40">
        <f t="shared" si="1"/>
        <v>0.96</v>
      </c>
      <c r="I22" s="42">
        <f t="shared" si="5"/>
        <v>3.7151999999999998</v>
      </c>
      <c r="J22" s="43">
        <f>I22/COS(RADIANS(45))</f>
        <v>5.2540862269285222</v>
      </c>
      <c r="K22" s="50">
        <f t="shared" si="3"/>
        <v>5.5</v>
      </c>
    </row>
    <row r="23" spans="2:11">
      <c r="B23" s="39" t="s">
        <v>138</v>
      </c>
      <c r="C23" s="40" t="s">
        <v>147</v>
      </c>
      <c r="D23" s="40" t="s">
        <v>118</v>
      </c>
      <c r="E23" s="40">
        <f t="shared" si="0"/>
        <v>375</v>
      </c>
      <c r="F23" s="40">
        <v>11</v>
      </c>
      <c r="G23" s="40">
        <v>2</v>
      </c>
      <c r="H23" s="40">
        <f t="shared" si="1"/>
        <v>0.96</v>
      </c>
      <c r="I23" s="42">
        <f t="shared" si="5"/>
        <v>3.7151999999999998</v>
      </c>
      <c r="J23" s="43">
        <f>I23/COS(RADIANS(45))</f>
        <v>5.2540862269285222</v>
      </c>
      <c r="K23" s="50">
        <f t="shared" ref="K23" si="6">MROUND(J23,0.5)</f>
        <v>5.5</v>
      </c>
    </row>
    <row r="24" spans="2:11">
      <c r="B24" s="39" t="s">
        <v>130</v>
      </c>
      <c r="C24" s="40" t="s">
        <v>139</v>
      </c>
      <c r="D24" s="40" t="s">
        <v>118</v>
      </c>
      <c r="E24" s="40">
        <f t="shared" si="0"/>
        <v>375</v>
      </c>
      <c r="F24" s="40">
        <v>10</v>
      </c>
      <c r="G24" s="40">
        <v>2</v>
      </c>
      <c r="H24" s="40">
        <f t="shared" si="1"/>
        <v>0.96</v>
      </c>
      <c r="I24" s="42">
        <f t="shared" si="5"/>
        <v>3.3024</v>
      </c>
      <c r="J24" s="43">
        <f t="shared" ref="J24:J26" si="7">I24/COS(RADIANS(45))</f>
        <v>4.6702988683809084</v>
      </c>
      <c r="K24" s="50">
        <f t="shared" si="3"/>
        <v>4.5</v>
      </c>
    </row>
    <row r="25" spans="2:11">
      <c r="B25" s="39" t="s">
        <v>130</v>
      </c>
      <c r="C25" s="40" t="s">
        <v>142</v>
      </c>
      <c r="D25" s="40" t="s">
        <v>118</v>
      </c>
      <c r="E25" s="40">
        <f t="shared" si="0"/>
        <v>375</v>
      </c>
      <c r="F25" s="40">
        <v>10</v>
      </c>
      <c r="G25" s="40">
        <v>2</v>
      </c>
      <c r="H25" s="40">
        <f t="shared" si="1"/>
        <v>0.96</v>
      </c>
      <c r="I25" s="42">
        <f t="shared" si="5"/>
        <v>3.3024</v>
      </c>
      <c r="J25" s="43">
        <f t="shared" si="7"/>
        <v>4.6702988683809084</v>
      </c>
      <c r="K25" s="50">
        <f t="shared" si="3"/>
        <v>4.5</v>
      </c>
    </row>
    <row r="26" spans="2:11">
      <c r="B26" s="39" t="s">
        <v>130</v>
      </c>
      <c r="C26" s="40" t="s">
        <v>140</v>
      </c>
      <c r="D26" s="40" t="s">
        <v>118</v>
      </c>
      <c r="E26" s="40">
        <f t="shared" si="0"/>
        <v>375</v>
      </c>
      <c r="F26" s="40">
        <v>10</v>
      </c>
      <c r="G26" s="40">
        <v>2</v>
      </c>
      <c r="H26" s="40">
        <f t="shared" si="1"/>
        <v>0.96</v>
      </c>
      <c r="I26" s="42">
        <f t="shared" si="5"/>
        <v>3.3024</v>
      </c>
      <c r="J26" s="43">
        <f t="shared" si="7"/>
        <v>4.6702988683809084</v>
      </c>
      <c r="K26" s="50">
        <f t="shared" si="3"/>
        <v>4.5</v>
      </c>
    </row>
    <row r="27" spans="2:11">
      <c r="B27" s="39" t="s">
        <v>130</v>
      </c>
      <c r="C27" s="40" t="s">
        <v>148</v>
      </c>
      <c r="D27" s="40" t="s">
        <v>118</v>
      </c>
      <c r="E27" s="40">
        <f t="shared" si="0"/>
        <v>375</v>
      </c>
      <c r="F27" s="40">
        <v>12</v>
      </c>
      <c r="G27" s="40">
        <v>2</v>
      </c>
      <c r="H27" s="40">
        <f t="shared" si="1"/>
        <v>0.96</v>
      </c>
      <c r="I27" s="42">
        <f t="shared" si="5"/>
        <v>4.1280000000000001</v>
      </c>
      <c r="J27" s="43">
        <f t="shared" ref="J27" si="8">I27/COS(RADIANS(45))</f>
        <v>5.8378735854761361</v>
      </c>
      <c r="K27" s="50">
        <f t="shared" ref="K27" si="9">MROUND(J27,0.5)</f>
        <v>6</v>
      </c>
    </row>
    <row r="37" spans="7:7">
      <c r="G37" s="31"/>
    </row>
  </sheetData>
  <mergeCells count="8">
    <mergeCell ref="B2:C2"/>
    <mergeCell ref="E2:F2"/>
    <mergeCell ref="I14:J14"/>
    <mergeCell ref="I19:J19"/>
    <mergeCell ref="B12:C12"/>
    <mergeCell ref="F12:G12"/>
    <mergeCell ref="D12:E12"/>
    <mergeCell ref="B5:B8"/>
  </mergeCells>
  <phoneticPr fontId="1" type="noConversion"/>
  <dataValidations count="1">
    <dataValidation type="list" allowBlank="1" showInputMessage="1" showErrorMessage="1" sqref="D14:D27" xr:uid="{B3539A1B-9631-45CD-9870-8A0D894799C8}">
      <formula1>$C$4:$C$8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809FA-E7DA-40BE-9FA7-C69AE722C031}">
  <sheetPr codeName="Sheet4"/>
  <dimension ref="A7:T35"/>
  <sheetViews>
    <sheetView topLeftCell="A7" zoomScale="130" zoomScaleNormal="130" workbookViewId="0">
      <selection activeCell="T8" sqref="T8"/>
    </sheetView>
  </sheetViews>
  <sheetFormatPr defaultColWidth="8.75" defaultRowHeight="13.5"/>
  <cols>
    <col min="1" max="1" width="5.25" style="17" bestFit="1" customWidth="1"/>
    <col min="2" max="2" width="11.75" style="49" customWidth="1"/>
    <col min="3" max="18" width="5.75" style="17" customWidth="1"/>
    <col min="19" max="16384" width="8.75" style="17"/>
  </cols>
  <sheetData>
    <row r="7" spans="1:20">
      <c r="A7" s="44" t="s">
        <v>159</v>
      </c>
      <c r="B7" s="44" t="s">
        <v>82</v>
      </c>
      <c r="C7" s="44" t="s">
        <v>79</v>
      </c>
      <c r="D7" s="44" t="s">
        <v>50</v>
      </c>
      <c r="E7" s="44" t="s">
        <v>85</v>
      </c>
      <c r="F7" s="44" t="s">
        <v>161</v>
      </c>
      <c r="G7" s="44" t="s">
        <v>154</v>
      </c>
      <c r="H7" s="44" t="s">
        <v>162</v>
      </c>
      <c r="I7" s="44" t="s">
        <v>43</v>
      </c>
      <c r="J7" s="45" t="s">
        <v>158</v>
      </c>
      <c r="K7" s="44" t="s">
        <v>45</v>
      </c>
      <c r="L7" s="44" t="s">
        <v>56</v>
      </c>
      <c r="M7" s="44" t="s">
        <v>41</v>
      </c>
      <c r="N7" s="44" t="s">
        <v>31</v>
      </c>
      <c r="O7" s="44" t="s">
        <v>32</v>
      </c>
      <c r="P7" s="44" t="s">
        <v>80</v>
      </c>
      <c r="Q7" s="44" t="s">
        <v>81</v>
      </c>
      <c r="R7" s="44" t="s">
        <v>160</v>
      </c>
      <c r="T7" s="17" t="s">
        <v>163</v>
      </c>
    </row>
    <row r="8" spans="1:20">
      <c r="A8" s="44">
        <v>1</v>
      </c>
      <c r="B8" s="44" t="s">
        <v>84</v>
      </c>
      <c r="C8" s="44" t="s">
        <v>155</v>
      </c>
      <c r="D8" s="46" t="e">
        <f>VLOOKUP(C8,Front!$G$2:$H$10,2,FALSE)</f>
        <v>#N/A</v>
      </c>
      <c r="E8" s="46" t="s">
        <v>28</v>
      </c>
      <c r="F8" s="47">
        <f>LEFT(B8,3)-50-IF(E8="O",50,0)</f>
        <v>200</v>
      </c>
      <c r="G8" s="46" t="s">
        <v>86</v>
      </c>
      <c r="H8" s="48">
        <v>12</v>
      </c>
      <c r="I8" s="44">
        <v>355</v>
      </c>
      <c r="J8" s="44">
        <v>1.1499999999999999</v>
      </c>
      <c r="K8" s="47">
        <f>I8/J8</f>
        <v>308.69565217391306</v>
      </c>
      <c r="L8" s="46">
        <v>4</v>
      </c>
      <c r="M8" s="46">
        <v>0.75</v>
      </c>
      <c r="N8" s="46">
        <v>10.5</v>
      </c>
      <c r="O8" s="48">
        <f t="shared" ref="O8:O33" si="0">(rho*grav*N8+25)*1.35</f>
        <v>176.28316875000002</v>
      </c>
      <c r="P8" s="47" t="e">
        <f t="shared" ref="P8:P20" si="1">SQRT(3)*D8/K8*10^3*(L8-0.5*M8)*M8*O8</f>
        <v>#N/A</v>
      </c>
      <c r="Q8" s="44">
        <f t="shared" ref="Q8:Q35" si="2">F8*H8+(IF(G8="",0,LEFT(G8,3))-35)*IF(G8="",0,RIGHT(G8,2)) + (IF(OR(LEFT(C8,1)="B",LEFT(C8,1)="C"),F8*H8,0))</f>
        <v>3420</v>
      </c>
      <c r="R8" s="44" t="e">
        <f>IF(P8&lt;=Q8,"OK","NA")</f>
        <v>#N/A</v>
      </c>
    </row>
    <row r="9" spans="1:20">
      <c r="A9" s="44">
        <v>2</v>
      </c>
      <c r="B9" s="44" t="s">
        <v>84</v>
      </c>
      <c r="C9" s="44" t="s">
        <v>155</v>
      </c>
      <c r="D9" s="46" t="e">
        <f>VLOOKUP(C9,Front!$G$2:$H$10,2,FALSE)</f>
        <v>#N/A</v>
      </c>
      <c r="E9" s="46" t="s">
        <v>28</v>
      </c>
      <c r="F9" s="47">
        <f t="shared" ref="F9:F35" si="3">LEFT(B9,3)-50-IF(E9="O",50,0)</f>
        <v>200</v>
      </c>
      <c r="G9" s="46" t="s">
        <v>86</v>
      </c>
      <c r="H9" s="48">
        <v>12</v>
      </c>
      <c r="I9" s="44">
        <v>355</v>
      </c>
      <c r="J9" s="44">
        <v>1.1499999999999999</v>
      </c>
      <c r="K9" s="47">
        <f t="shared" ref="K9:K33" si="4">I9/J9</f>
        <v>308.69565217391306</v>
      </c>
      <c r="L9" s="46">
        <v>4</v>
      </c>
      <c r="M9" s="46">
        <v>0.75</v>
      </c>
      <c r="N9" s="46">
        <v>10.5</v>
      </c>
      <c r="O9" s="48">
        <f t="shared" si="0"/>
        <v>176.28316875000002</v>
      </c>
      <c r="P9" s="47" t="e">
        <f t="shared" si="1"/>
        <v>#N/A</v>
      </c>
      <c r="Q9" s="44">
        <f t="shared" si="2"/>
        <v>3420</v>
      </c>
      <c r="R9" s="44" t="e">
        <f t="shared" ref="R9:R35" si="5">IF(P9&lt;=Q9,"OK","NA")</f>
        <v>#N/A</v>
      </c>
    </row>
    <row r="10" spans="1:20">
      <c r="A10" s="44">
        <v>3</v>
      </c>
      <c r="B10" s="44" t="s">
        <v>84</v>
      </c>
      <c r="C10" s="44" t="s">
        <v>155</v>
      </c>
      <c r="D10" s="46" t="e">
        <f>VLOOKUP(C10,Front!$G$2:$H$10,2,FALSE)</f>
        <v>#N/A</v>
      </c>
      <c r="E10" s="46" t="s">
        <v>28</v>
      </c>
      <c r="F10" s="47">
        <f t="shared" si="3"/>
        <v>200</v>
      </c>
      <c r="G10" s="46" t="s">
        <v>86</v>
      </c>
      <c r="H10" s="48">
        <v>12</v>
      </c>
      <c r="I10" s="44">
        <v>355</v>
      </c>
      <c r="J10" s="44">
        <v>1.1499999999999999</v>
      </c>
      <c r="K10" s="47">
        <f t="shared" si="4"/>
        <v>308.69565217391306</v>
      </c>
      <c r="L10" s="46">
        <v>4</v>
      </c>
      <c r="M10" s="46">
        <v>0.75</v>
      </c>
      <c r="N10" s="46">
        <v>10.5</v>
      </c>
      <c r="O10" s="48">
        <f t="shared" si="0"/>
        <v>176.28316875000002</v>
      </c>
      <c r="P10" s="47" t="e">
        <f t="shared" si="1"/>
        <v>#N/A</v>
      </c>
      <c r="Q10" s="44">
        <f t="shared" si="2"/>
        <v>3420</v>
      </c>
      <c r="R10" s="44" t="e">
        <f t="shared" si="5"/>
        <v>#N/A</v>
      </c>
    </row>
    <row r="11" spans="1:20">
      <c r="A11" s="44">
        <v>4</v>
      </c>
      <c r="B11" s="44" t="s">
        <v>84</v>
      </c>
      <c r="C11" s="44" t="s">
        <v>156</v>
      </c>
      <c r="D11" s="46" t="e">
        <f>VLOOKUP(C11,Front!$G$2:$H$10,2,FALSE)</f>
        <v>#N/A</v>
      </c>
      <c r="E11" s="46" t="s">
        <v>28</v>
      </c>
      <c r="F11" s="47">
        <f t="shared" si="3"/>
        <v>200</v>
      </c>
      <c r="G11" s="46" t="s">
        <v>152</v>
      </c>
      <c r="H11" s="48">
        <v>12</v>
      </c>
      <c r="I11" s="44">
        <v>355</v>
      </c>
      <c r="J11" s="44">
        <v>1.1499999999999999</v>
      </c>
      <c r="K11" s="47">
        <f t="shared" si="4"/>
        <v>308.69565217391306</v>
      </c>
      <c r="L11" s="46">
        <v>4</v>
      </c>
      <c r="M11" s="46">
        <v>0.75</v>
      </c>
      <c r="N11" s="46">
        <v>10.5</v>
      </c>
      <c r="O11" s="48">
        <f t="shared" si="0"/>
        <v>176.28316875000002</v>
      </c>
      <c r="P11" s="47" t="e">
        <f t="shared" si="1"/>
        <v>#N/A</v>
      </c>
      <c r="Q11" s="44">
        <f t="shared" si="2"/>
        <v>10380</v>
      </c>
      <c r="R11" s="44" t="e">
        <f t="shared" si="5"/>
        <v>#N/A</v>
      </c>
    </row>
    <row r="12" spans="1:20">
      <c r="A12" s="44">
        <v>5</v>
      </c>
      <c r="B12" s="44" t="s">
        <v>84</v>
      </c>
      <c r="C12" s="44" t="s">
        <v>155</v>
      </c>
      <c r="D12" s="46" t="e">
        <f>VLOOKUP(C12,Front!$G$2:$H$10,2,FALSE)</f>
        <v>#N/A</v>
      </c>
      <c r="E12" s="46" t="s">
        <v>28</v>
      </c>
      <c r="F12" s="47">
        <f t="shared" si="3"/>
        <v>200</v>
      </c>
      <c r="G12" s="46" t="s">
        <v>86</v>
      </c>
      <c r="H12" s="48">
        <v>12</v>
      </c>
      <c r="I12" s="44">
        <v>355</v>
      </c>
      <c r="J12" s="44">
        <v>1.1499999999999999</v>
      </c>
      <c r="K12" s="47">
        <f t="shared" si="4"/>
        <v>308.69565217391306</v>
      </c>
      <c r="L12" s="46">
        <v>4</v>
      </c>
      <c r="M12" s="46">
        <v>0.75</v>
      </c>
      <c r="N12" s="46">
        <v>10.5</v>
      </c>
      <c r="O12" s="48">
        <f t="shared" si="0"/>
        <v>176.28316875000002</v>
      </c>
      <c r="P12" s="47" t="e">
        <f t="shared" si="1"/>
        <v>#N/A</v>
      </c>
      <c r="Q12" s="44">
        <f t="shared" si="2"/>
        <v>3420</v>
      </c>
      <c r="R12" s="44" t="e">
        <f t="shared" si="5"/>
        <v>#N/A</v>
      </c>
    </row>
    <row r="13" spans="1:20">
      <c r="A13" s="44">
        <v>6</v>
      </c>
      <c r="B13" s="44" t="s">
        <v>84</v>
      </c>
      <c r="C13" s="44" t="s">
        <v>155</v>
      </c>
      <c r="D13" s="46" t="e">
        <f>VLOOKUP(C13,Front!$G$2:$H$10,2,FALSE)</f>
        <v>#N/A</v>
      </c>
      <c r="E13" s="46" t="s">
        <v>28</v>
      </c>
      <c r="F13" s="47">
        <f t="shared" si="3"/>
        <v>200</v>
      </c>
      <c r="G13" s="46" t="s">
        <v>86</v>
      </c>
      <c r="H13" s="48">
        <v>12</v>
      </c>
      <c r="I13" s="44">
        <v>355</v>
      </c>
      <c r="J13" s="44">
        <v>1.1499999999999999</v>
      </c>
      <c r="K13" s="47">
        <f t="shared" si="4"/>
        <v>308.69565217391306</v>
      </c>
      <c r="L13" s="46">
        <v>4</v>
      </c>
      <c r="M13" s="46">
        <v>0.75</v>
      </c>
      <c r="N13" s="46">
        <v>10.5</v>
      </c>
      <c r="O13" s="48">
        <f t="shared" si="0"/>
        <v>176.28316875000002</v>
      </c>
      <c r="P13" s="47" t="e">
        <f t="shared" si="1"/>
        <v>#N/A</v>
      </c>
      <c r="Q13" s="44">
        <f t="shared" si="2"/>
        <v>3420</v>
      </c>
      <c r="R13" s="44" t="e">
        <f t="shared" si="5"/>
        <v>#N/A</v>
      </c>
    </row>
    <row r="14" spans="1:20">
      <c r="A14" s="44">
        <v>7</v>
      </c>
      <c r="B14" s="44" t="s">
        <v>84</v>
      </c>
      <c r="C14" s="44" t="s">
        <v>157</v>
      </c>
      <c r="D14" s="46" t="e">
        <f>VLOOKUP(C14,Front!$G$2:$H$10,2,FALSE)</f>
        <v>#N/A</v>
      </c>
      <c r="E14" s="46" t="s">
        <v>17</v>
      </c>
      <c r="F14" s="47">
        <f t="shared" si="3"/>
        <v>150</v>
      </c>
      <c r="G14" s="46"/>
      <c r="H14" s="48">
        <v>12</v>
      </c>
      <c r="I14" s="44">
        <v>355</v>
      </c>
      <c r="J14" s="44">
        <v>1.1499999999999999</v>
      </c>
      <c r="K14" s="47">
        <f t="shared" si="4"/>
        <v>308.69565217391306</v>
      </c>
      <c r="L14" s="46">
        <v>4</v>
      </c>
      <c r="M14" s="46">
        <v>0.75</v>
      </c>
      <c r="N14" s="46">
        <v>10.5</v>
      </c>
      <c r="O14" s="48">
        <f t="shared" si="0"/>
        <v>176.28316875000002</v>
      </c>
      <c r="P14" s="47" t="e">
        <f t="shared" si="1"/>
        <v>#N/A</v>
      </c>
      <c r="Q14" s="44">
        <f t="shared" si="2"/>
        <v>3600</v>
      </c>
      <c r="R14" s="44" t="e">
        <f t="shared" si="5"/>
        <v>#N/A</v>
      </c>
    </row>
    <row r="15" spans="1:20">
      <c r="A15" s="44">
        <v>8</v>
      </c>
      <c r="B15" s="44" t="s">
        <v>83</v>
      </c>
      <c r="C15" s="44" t="s">
        <v>155</v>
      </c>
      <c r="D15" s="46" t="e">
        <f>VLOOKUP(C15,Front!$G$2:$H$10,2,FALSE)</f>
        <v>#N/A</v>
      </c>
      <c r="E15" s="46" t="s">
        <v>28</v>
      </c>
      <c r="F15" s="47">
        <f t="shared" si="3"/>
        <v>200</v>
      </c>
      <c r="G15" s="46" t="s">
        <v>86</v>
      </c>
      <c r="H15" s="48">
        <v>12</v>
      </c>
      <c r="I15" s="44">
        <v>355</v>
      </c>
      <c r="J15" s="44">
        <v>1.1499999999999999</v>
      </c>
      <c r="K15" s="47">
        <f t="shared" si="4"/>
        <v>308.69565217391306</v>
      </c>
      <c r="L15" s="46">
        <v>4</v>
      </c>
      <c r="M15" s="46">
        <v>0.7</v>
      </c>
      <c r="N15" s="46">
        <f t="shared" ref="N15:N20" si="6">N14-0.7</f>
        <v>9.8000000000000007</v>
      </c>
      <c r="O15" s="48">
        <f t="shared" si="0"/>
        <v>166.7809575</v>
      </c>
      <c r="P15" s="47" t="e">
        <f t="shared" si="1"/>
        <v>#N/A</v>
      </c>
      <c r="Q15" s="44">
        <f t="shared" si="2"/>
        <v>3420</v>
      </c>
      <c r="R15" s="44" t="e">
        <f t="shared" si="5"/>
        <v>#N/A</v>
      </c>
    </row>
    <row r="16" spans="1:20">
      <c r="A16" s="44">
        <v>9</v>
      </c>
      <c r="B16" s="44" t="s">
        <v>83</v>
      </c>
      <c r="C16" s="44" t="s">
        <v>155</v>
      </c>
      <c r="D16" s="46" t="e">
        <f>VLOOKUP(C16,Front!$G$2:$H$10,2,FALSE)</f>
        <v>#N/A</v>
      </c>
      <c r="E16" s="46" t="s">
        <v>28</v>
      </c>
      <c r="F16" s="47">
        <f t="shared" si="3"/>
        <v>200</v>
      </c>
      <c r="G16" s="46" t="s">
        <v>86</v>
      </c>
      <c r="H16" s="48">
        <v>12</v>
      </c>
      <c r="I16" s="44">
        <v>355</v>
      </c>
      <c r="J16" s="44">
        <v>1.1499999999999999</v>
      </c>
      <c r="K16" s="47">
        <f t="shared" si="4"/>
        <v>308.69565217391306</v>
      </c>
      <c r="L16" s="46">
        <v>4</v>
      </c>
      <c r="M16" s="46">
        <v>0.7</v>
      </c>
      <c r="N16" s="46">
        <f t="shared" si="6"/>
        <v>9.1000000000000014</v>
      </c>
      <c r="O16" s="48">
        <f t="shared" si="0"/>
        <v>157.27874625000001</v>
      </c>
      <c r="P16" s="47" t="e">
        <f t="shared" si="1"/>
        <v>#N/A</v>
      </c>
      <c r="Q16" s="44">
        <f t="shared" si="2"/>
        <v>3420</v>
      </c>
      <c r="R16" s="44" t="e">
        <f t="shared" si="5"/>
        <v>#N/A</v>
      </c>
    </row>
    <row r="17" spans="1:18">
      <c r="A17" s="44">
        <v>10</v>
      </c>
      <c r="B17" s="44" t="s">
        <v>83</v>
      </c>
      <c r="C17" s="44" t="s">
        <v>156</v>
      </c>
      <c r="D17" s="46" t="e">
        <f>VLOOKUP(C17,Front!$G$2:$H$10,2,FALSE)</f>
        <v>#N/A</v>
      </c>
      <c r="E17" s="46" t="s">
        <v>28</v>
      </c>
      <c r="F17" s="47">
        <f t="shared" si="3"/>
        <v>200</v>
      </c>
      <c r="G17" s="46" t="s">
        <v>153</v>
      </c>
      <c r="H17" s="48">
        <v>12</v>
      </c>
      <c r="I17" s="44">
        <v>355</v>
      </c>
      <c r="J17" s="44">
        <v>1.1499999999999999</v>
      </c>
      <c r="K17" s="47">
        <f t="shared" si="4"/>
        <v>308.69565217391306</v>
      </c>
      <c r="L17" s="46">
        <v>4</v>
      </c>
      <c r="M17" s="46">
        <v>0.7</v>
      </c>
      <c r="N17" s="46">
        <f t="shared" si="6"/>
        <v>8.4000000000000021</v>
      </c>
      <c r="O17" s="48">
        <f t="shared" si="0"/>
        <v>147.77653500000002</v>
      </c>
      <c r="P17" s="47" t="e">
        <f t="shared" si="1"/>
        <v>#N/A</v>
      </c>
      <c r="Q17" s="44">
        <f t="shared" si="2"/>
        <v>10380</v>
      </c>
      <c r="R17" s="44" t="e">
        <f t="shared" si="5"/>
        <v>#N/A</v>
      </c>
    </row>
    <row r="18" spans="1:18">
      <c r="A18" s="44">
        <v>11</v>
      </c>
      <c r="B18" s="44" t="s">
        <v>83</v>
      </c>
      <c r="C18" s="44" t="s">
        <v>155</v>
      </c>
      <c r="D18" s="46" t="e">
        <f>VLOOKUP(C18,Front!$G$2:$H$10,2,FALSE)</f>
        <v>#N/A</v>
      </c>
      <c r="E18" s="46" t="s">
        <v>17</v>
      </c>
      <c r="F18" s="47">
        <f t="shared" si="3"/>
        <v>150</v>
      </c>
      <c r="G18" s="46" t="s">
        <v>86</v>
      </c>
      <c r="H18" s="48">
        <v>12</v>
      </c>
      <c r="I18" s="44">
        <v>355</v>
      </c>
      <c r="J18" s="44">
        <v>1.1499999999999999</v>
      </c>
      <c r="K18" s="47">
        <f t="shared" si="4"/>
        <v>308.69565217391306</v>
      </c>
      <c r="L18" s="46">
        <v>4</v>
      </c>
      <c r="M18" s="46">
        <v>0.7</v>
      </c>
      <c r="N18" s="46">
        <f t="shared" si="6"/>
        <v>7.700000000000002</v>
      </c>
      <c r="O18" s="48">
        <f t="shared" si="0"/>
        <v>138.27432375000004</v>
      </c>
      <c r="P18" s="47" t="e">
        <f t="shared" si="1"/>
        <v>#N/A</v>
      </c>
      <c r="Q18" s="44">
        <f t="shared" si="2"/>
        <v>2820</v>
      </c>
      <c r="R18" s="44" t="e">
        <f t="shared" si="5"/>
        <v>#N/A</v>
      </c>
    </row>
    <row r="19" spans="1:18">
      <c r="A19" s="44">
        <v>12</v>
      </c>
      <c r="B19" s="44" t="s">
        <v>83</v>
      </c>
      <c r="C19" s="44" t="s">
        <v>155</v>
      </c>
      <c r="D19" s="46" t="e">
        <f>VLOOKUP(C19,Front!$G$2:$H$10,2,FALSE)</f>
        <v>#N/A</v>
      </c>
      <c r="E19" s="46" t="s">
        <v>28</v>
      </c>
      <c r="F19" s="47">
        <f t="shared" si="3"/>
        <v>200</v>
      </c>
      <c r="G19" s="46" t="s">
        <v>86</v>
      </c>
      <c r="H19" s="48">
        <v>12</v>
      </c>
      <c r="I19" s="44">
        <v>355</v>
      </c>
      <c r="J19" s="44">
        <v>1.1499999999999999</v>
      </c>
      <c r="K19" s="47">
        <f t="shared" si="4"/>
        <v>308.69565217391306</v>
      </c>
      <c r="L19" s="46">
        <v>4</v>
      </c>
      <c r="M19" s="46">
        <v>0.7</v>
      </c>
      <c r="N19" s="46">
        <f t="shared" si="6"/>
        <v>7.0000000000000018</v>
      </c>
      <c r="O19" s="48">
        <f t="shared" si="0"/>
        <v>128.77211250000002</v>
      </c>
      <c r="P19" s="47" t="e">
        <f t="shared" si="1"/>
        <v>#N/A</v>
      </c>
      <c r="Q19" s="44">
        <f t="shared" si="2"/>
        <v>3420</v>
      </c>
      <c r="R19" s="44" t="e">
        <f t="shared" si="5"/>
        <v>#N/A</v>
      </c>
    </row>
    <row r="20" spans="1:18">
      <c r="A20" s="44">
        <v>13</v>
      </c>
      <c r="B20" s="44" t="s">
        <v>83</v>
      </c>
      <c r="C20" s="44" t="s">
        <v>155</v>
      </c>
      <c r="D20" s="46" t="e">
        <f>VLOOKUP(C20,Front!$G$2:$H$10,2,FALSE)</f>
        <v>#N/A</v>
      </c>
      <c r="E20" s="46" t="s">
        <v>17</v>
      </c>
      <c r="F20" s="47">
        <f t="shared" si="3"/>
        <v>150</v>
      </c>
      <c r="G20" s="46" t="s">
        <v>86</v>
      </c>
      <c r="H20" s="48">
        <v>12</v>
      </c>
      <c r="I20" s="44">
        <v>355</v>
      </c>
      <c r="J20" s="44">
        <v>1.1499999999999999</v>
      </c>
      <c r="K20" s="47">
        <f t="shared" si="4"/>
        <v>308.69565217391306</v>
      </c>
      <c r="L20" s="46">
        <v>4</v>
      </c>
      <c r="M20" s="46">
        <v>0.7</v>
      </c>
      <c r="N20" s="46">
        <f t="shared" si="6"/>
        <v>6.3000000000000016</v>
      </c>
      <c r="O20" s="48">
        <f t="shared" si="0"/>
        <v>119.26990125000002</v>
      </c>
      <c r="P20" s="47" t="e">
        <f t="shared" si="1"/>
        <v>#N/A</v>
      </c>
      <c r="Q20" s="44">
        <f t="shared" si="2"/>
        <v>2820</v>
      </c>
      <c r="R20" s="44" t="e">
        <f t="shared" si="5"/>
        <v>#N/A</v>
      </c>
    </row>
    <row r="21" spans="1:18">
      <c r="A21" s="44">
        <v>14</v>
      </c>
      <c r="B21" s="44" t="s">
        <v>83</v>
      </c>
      <c r="C21" s="44" t="s">
        <v>78</v>
      </c>
      <c r="D21" s="46" t="e">
        <f>VLOOKUP(C21,Front!$G$2:$H$10,2,FALSE)</f>
        <v>#N/A</v>
      </c>
      <c r="E21" s="46"/>
      <c r="F21" s="47"/>
      <c r="G21" s="46"/>
      <c r="H21" s="48"/>
      <c r="I21" s="44"/>
      <c r="J21" s="44"/>
      <c r="K21" s="47"/>
      <c r="L21" s="46"/>
      <c r="M21" s="46"/>
      <c r="N21" s="46"/>
      <c r="O21" s="48"/>
      <c r="P21" s="47"/>
      <c r="Q21" s="44"/>
      <c r="R21" s="44"/>
    </row>
    <row r="22" spans="1:18">
      <c r="A22" s="44">
        <v>15</v>
      </c>
      <c r="B22" s="44" t="s">
        <v>83</v>
      </c>
      <c r="C22" s="44" t="s">
        <v>157</v>
      </c>
      <c r="D22" s="46" t="e">
        <f>VLOOKUP(C22,Front!$G$2:$H$10,2,FALSE)</f>
        <v>#N/A</v>
      </c>
      <c r="E22" s="46" t="s">
        <v>28</v>
      </c>
      <c r="F22" s="47">
        <f t="shared" si="3"/>
        <v>200</v>
      </c>
      <c r="G22" s="46" t="s">
        <v>86</v>
      </c>
      <c r="H22" s="48">
        <v>12</v>
      </c>
      <c r="I22" s="44">
        <v>355</v>
      </c>
      <c r="J22" s="44">
        <v>1.1499999999999999</v>
      </c>
      <c r="K22" s="47">
        <f t="shared" si="4"/>
        <v>308.69565217391306</v>
      </c>
      <c r="L22" s="46">
        <v>4</v>
      </c>
      <c r="M22" s="46">
        <v>0.7</v>
      </c>
      <c r="N22" s="46">
        <f>N20-1.4</f>
        <v>4.9000000000000021</v>
      </c>
      <c r="O22" s="48">
        <f>(rho*grav*N22+25)*1.35</f>
        <v>100.26547875000004</v>
      </c>
      <c r="P22" s="47" t="e">
        <f t="shared" ref="P22:P35" si="7">SQRT(3)*D22/K22*10^3*(L22-0.5*M22)*M22*O22</f>
        <v>#N/A</v>
      </c>
      <c r="Q22" s="44">
        <f t="shared" si="2"/>
        <v>5820</v>
      </c>
      <c r="R22" s="44" t="e">
        <f t="shared" si="5"/>
        <v>#N/A</v>
      </c>
    </row>
    <row r="23" spans="1:18">
      <c r="A23" s="44">
        <v>16</v>
      </c>
      <c r="B23" s="44" t="s">
        <v>83</v>
      </c>
      <c r="C23" s="44" t="s">
        <v>155</v>
      </c>
      <c r="D23" s="46" t="e">
        <f>VLOOKUP(C23,Front!$G$2:$H$10,2,FALSE)</f>
        <v>#N/A</v>
      </c>
      <c r="E23" s="46" t="s">
        <v>28</v>
      </c>
      <c r="F23" s="47">
        <f t="shared" si="3"/>
        <v>200</v>
      </c>
      <c r="G23" s="46" t="s">
        <v>86</v>
      </c>
      <c r="H23" s="48">
        <v>12</v>
      </c>
      <c r="I23" s="44">
        <v>355</v>
      </c>
      <c r="J23" s="44">
        <v>1.1499999999999999</v>
      </c>
      <c r="K23" s="47">
        <f t="shared" ref="K23" si="8">I23/J23</f>
        <v>308.69565217391306</v>
      </c>
      <c r="L23" s="46">
        <v>4</v>
      </c>
      <c r="M23" s="46">
        <v>0.7</v>
      </c>
      <c r="N23" s="46">
        <f>N22-0.7</f>
        <v>4.200000000000002</v>
      </c>
      <c r="O23" s="48">
        <f>(rho*grav*N23+25)*1.35</f>
        <v>90.763267500000026</v>
      </c>
      <c r="P23" s="47" t="e">
        <f t="shared" si="7"/>
        <v>#N/A</v>
      </c>
      <c r="Q23" s="44">
        <f t="shared" si="2"/>
        <v>3420</v>
      </c>
      <c r="R23" s="44" t="e">
        <f t="shared" si="5"/>
        <v>#N/A</v>
      </c>
    </row>
    <row r="24" spans="1:18">
      <c r="A24" s="44">
        <v>17</v>
      </c>
      <c r="B24" s="44" t="s">
        <v>83</v>
      </c>
      <c r="C24" s="44" t="s">
        <v>155</v>
      </c>
      <c r="D24" s="46" t="e">
        <f>VLOOKUP(C24,Front!$G$2:$H$10,2,FALSE)</f>
        <v>#N/A</v>
      </c>
      <c r="E24" s="46" t="s">
        <v>28</v>
      </c>
      <c r="F24" s="47">
        <f t="shared" si="3"/>
        <v>200</v>
      </c>
      <c r="G24" s="46" t="s">
        <v>86</v>
      </c>
      <c r="H24" s="48">
        <v>12</v>
      </c>
      <c r="I24" s="44">
        <v>355</v>
      </c>
      <c r="J24" s="44">
        <v>1.1499999999999999</v>
      </c>
      <c r="K24" s="47">
        <f t="shared" si="4"/>
        <v>308.69565217391306</v>
      </c>
      <c r="L24" s="46">
        <v>4</v>
      </c>
      <c r="M24" s="46">
        <v>0.7</v>
      </c>
      <c r="N24" s="46">
        <f>N22-1.4</f>
        <v>3.5000000000000022</v>
      </c>
      <c r="O24" s="48">
        <f t="shared" si="0"/>
        <v>81.261056250000024</v>
      </c>
      <c r="P24" s="47" t="e">
        <f t="shared" si="7"/>
        <v>#N/A</v>
      </c>
      <c r="Q24" s="44">
        <f t="shared" si="2"/>
        <v>3420</v>
      </c>
      <c r="R24" s="44" t="e">
        <f t="shared" si="5"/>
        <v>#N/A</v>
      </c>
    </row>
    <row r="25" spans="1:18">
      <c r="A25" s="44">
        <v>18</v>
      </c>
      <c r="B25" s="44" t="s">
        <v>83</v>
      </c>
      <c r="C25" s="44" t="s">
        <v>155</v>
      </c>
      <c r="D25" s="46" t="e">
        <f>VLOOKUP(C25,Front!$G$2:$H$10,2,FALSE)</f>
        <v>#N/A</v>
      </c>
      <c r="E25" s="46" t="s">
        <v>28</v>
      </c>
      <c r="F25" s="47">
        <f t="shared" si="3"/>
        <v>200</v>
      </c>
      <c r="G25" s="46" t="s">
        <v>86</v>
      </c>
      <c r="H25" s="48">
        <v>12</v>
      </c>
      <c r="I25" s="44">
        <v>355</v>
      </c>
      <c r="J25" s="44">
        <v>1.1499999999999999</v>
      </c>
      <c r="K25" s="47">
        <f t="shared" si="4"/>
        <v>308.69565217391306</v>
      </c>
      <c r="L25" s="46">
        <v>4</v>
      </c>
      <c r="M25" s="46">
        <v>0.7</v>
      </c>
      <c r="N25" s="46">
        <f>N24-0.7</f>
        <v>2.8000000000000025</v>
      </c>
      <c r="O25" s="48">
        <f t="shared" si="0"/>
        <v>71.758845000000036</v>
      </c>
      <c r="P25" s="47" t="e">
        <f t="shared" si="7"/>
        <v>#N/A</v>
      </c>
      <c r="Q25" s="44">
        <f t="shared" si="2"/>
        <v>3420</v>
      </c>
      <c r="R25" s="44" t="e">
        <f t="shared" si="5"/>
        <v>#N/A</v>
      </c>
    </row>
    <row r="26" spans="1:18">
      <c r="A26" s="44">
        <v>19</v>
      </c>
      <c r="B26" s="44" t="s">
        <v>83</v>
      </c>
      <c r="C26" s="44" t="s">
        <v>156</v>
      </c>
      <c r="D26" s="46" t="e">
        <f>VLOOKUP(C26,Front!$G$2:$H$10,2,FALSE)</f>
        <v>#N/A</v>
      </c>
      <c r="E26" s="46" t="s">
        <v>17</v>
      </c>
      <c r="F26" s="47">
        <f t="shared" si="3"/>
        <v>150</v>
      </c>
      <c r="G26" s="46" t="s">
        <v>153</v>
      </c>
      <c r="H26" s="48">
        <v>12</v>
      </c>
      <c r="I26" s="44">
        <v>355</v>
      </c>
      <c r="J26" s="44">
        <v>1.1499999999999999</v>
      </c>
      <c r="K26" s="47">
        <f t="shared" si="4"/>
        <v>308.69565217391306</v>
      </c>
      <c r="L26" s="46">
        <v>4</v>
      </c>
      <c r="M26" s="46">
        <v>0.7</v>
      </c>
      <c r="N26" s="46">
        <f>N25-0.7</f>
        <v>2.1000000000000023</v>
      </c>
      <c r="O26" s="48">
        <f t="shared" si="0"/>
        <v>62.256633750000034</v>
      </c>
      <c r="P26" s="47" t="e">
        <f t="shared" si="7"/>
        <v>#N/A</v>
      </c>
      <c r="Q26" s="44">
        <f t="shared" si="2"/>
        <v>9180</v>
      </c>
      <c r="R26" s="44" t="e">
        <f t="shared" si="5"/>
        <v>#N/A</v>
      </c>
    </row>
    <row r="27" spans="1:18">
      <c r="A27" s="44">
        <v>20</v>
      </c>
      <c r="B27" s="44" t="s">
        <v>83</v>
      </c>
      <c r="C27" s="44" t="s">
        <v>155</v>
      </c>
      <c r="D27" s="46" t="e">
        <f>VLOOKUP(C27,Front!$G$2:$H$10,2,FALSE)</f>
        <v>#N/A</v>
      </c>
      <c r="E27" s="46" t="s">
        <v>28</v>
      </c>
      <c r="F27" s="47">
        <f t="shared" si="3"/>
        <v>200</v>
      </c>
      <c r="G27" s="46" t="s">
        <v>86</v>
      </c>
      <c r="H27" s="48">
        <v>12</v>
      </c>
      <c r="I27" s="44">
        <v>355</v>
      </c>
      <c r="J27" s="44">
        <v>1.1499999999999999</v>
      </c>
      <c r="K27" s="47">
        <f t="shared" si="4"/>
        <v>308.69565217391306</v>
      </c>
      <c r="L27" s="46">
        <v>4</v>
      </c>
      <c r="M27" s="46">
        <v>0.75</v>
      </c>
      <c r="N27" s="46">
        <f>N26-0.7</f>
        <v>1.4000000000000024</v>
      </c>
      <c r="O27" s="48">
        <f t="shared" si="0"/>
        <v>52.754422500000032</v>
      </c>
      <c r="P27" s="47" t="e">
        <f t="shared" si="7"/>
        <v>#N/A</v>
      </c>
      <c r="Q27" s="44">
        <f t="shared" si="2"/>
        <v>3420</v>
      </c>
      <c r="R27" s="44" t="e">
        <f t="shared" si="5"/>
        <v>#N/A</v>
      </c>
    </row>
    <row r="28" spans="1:18">
      <c r="A28" s="44">
        <v>21</v>
      </c>
      <c r="B28" s="44" t="s">
        <v>83</v>
      </c>
      <c r="C28" s="44" t="s">
        <v>155</v>
      </c>
      <c r="D28" s="46" t="e">
        <f>VLOOKUP(C28,Front!$G$2:$H$10,2,FALSE)</f>
        <v>#N/A</v>
      </c>
      <c r="E28" s="46" t="s">
        <v>28</v>
      </c>
      <c r="F28" s="47">
        <f t="shared" si="3"/>
        <v>200</v>
      </c>
      <c r="G28" s="46" t="s">
        <v>86</v>
      </c>
      <c r="H28" s="48">
        <v>12</v>
      </c>
      <c r="I28" s="44">
        <v>355</v>
      </c>
      <c r="J28" s="44">
        <v>1.1499999999999999</v>
      </c>
      <c r="K28" s="47">
        <f t="shared" si="4"/>
        <v>308.69565217391306</v>
      </c>
      <c r="L28" s="46">
        <v>4</v>
      </c>
      <c r="M28" s="46">
        <v>0.75</v>
      </c>
      <c r="N28" s="46">
        <f>N27-0.7</f>
        <v>0.7000000000000024</v>
      </c>
      <c r="O28" s="48">
        <f t="shared" si="0"/>
        <v>43.252211250000038</v>
      </c>
      <c r="P28" s="47" t="e">
        <f t="shared" si="7"/>
        <v>#N/A</v>
      </c>
      <c r="Q28" s="44">
        <f t="shared" si="2"/>
        <v>3420</v>
      </c>
      <c r="R28" s="44" t="e">
        <f t="shared" si="5"/>
        <v>#N/A</v>
      </c>
    </row>
    <row r="29" spans="1:18">
      <c r="A29" s="44">
        <v>22</v>
      </c>
      <c r="B29" s="44" t="s">
        <v>84</v>
      </c>
      <c r="C29" s="44" t="s">
        <v>157</v>
      </c>
      <c r="D29" s="46" t="e">
        <f>VLOOKUP(C29,Front!$G$2:$H$10,2,FALSE)</f>
        <v>#N/A</v>
      </c>
      <c r="E29" s="46" t="s">
        <v>17</v>
      </c>
      <c r="F29" s="47">
        <f t="shared" si="3"/>
        <v>150</v>
      </c>
      <c r="G29" s="46" t="s">
        <v>86</v>
      </c>
      <c r="H29" s="48">
        <v>12</v>
      </c>
      <c r="I29" s="44">
        <v>355</v>
      </c>
      <c r="J29" s="44">
        <v>1.1499999999999999</v>
      </c>
      <c r="K29" s="47">
        <f t="shared" si="4"/>
        <v>308.69565217391306</v>
      </c>
      <c r="L29" s="46">
        <v>4</v>
      </c>
      <c r="M29" s="46">
        <v>0.75</v>
      </c>
      <c r="N29" s="46">
        <v>0</v>
      </c>
      <c r="O29" s="48">
        <f t="shared" si="0"/>
        <v>33.75</v>
      </c>
      <c r="P29" s="47" t="e">
        <f t="shared" si="7"/>
        <v>#N/A</v>
      </c>
      <c r="Q29" s="44">
        <f t="shared" si="2"/>
        <v>4620</v>
      </c>
      <c r="R29" s="44" t="e">
        <f t="shared" si="5"/>
        <v>#N/A</v>
      </c>
    </row>
    <row r="30" spans="1:18">
      <c r="A30" s="44">
        <v>23</v>
      </c>
      <c r="B30" s="44" t="s">
        <v>84</v>
      </c>
      <c r="C30" s="44" t="s">
        <v>156</v>
      </c>
      <c r="D30" s="46" t="e">
        <f>VLOOKUP(C30,Front!$G$2:$H$10,2,FALSE)</f>
        <v>#N/A</v>
      </c>
      <c r="E30" s="46" t="s">
        <v>28</v>
      </c>
      <c r="F30" s="47">
        <f t="shared" si="3"/>
        <v>200</v>
      </c>
      <c r="G30" s="46" t="s">
        <v>86</v>
      </c>
      <c r="H30" s="48">
        <v>12</v>
      </c>
      <c r="I30" s="44">
        <v>355</v>
      </c>
      <c r="J30" s="44">
        <v>1.1499999999999999</v>
      </c>
      <c r="K30" s="47">
        <f t="shared" si="4"/>
        <v>308.69565217391306</v>
      </c>
      <c r="L30" s="46">
        <v>4</v>
      </c>
      <c r="M30" s="46">
        <v>0.75</v>
      </c>
      <c r="N30" s="46">
        <v>0</v>
      </c>
      <c r="O30" s="48">
        <f t="shared" si="0"/>
        <v>33.75</v>
      </c>
      <c r="P30" s="47" t="e">
        <f t="shared" si="7"/>
        <v>#N/A</v>
      </c>
      <c r="Q30" s="44">
        <f t="shared" si="2"/>
        <v>5820</v>
      </c>
      <c r="R30" s="44" t="e">
        <f t="shared" si="5"/>
        <v>#N/A</v>
      </c>
    </row>
    <row r="31" spans="1:18">
      <c r="A31" s="44">
        <v>24</v>
      </c>
      <c r="B31" s="44" t="s">
        <v>84</v>
      </c>
      <c r="C31" s="44" t="s">
        <v>155</v>
      </c>
      <c r="D31" s="46" t="e">
        <f>VLOOKUP(C31,Front!$G$2:$H$10,2,FALSE)</f>
        <v>#N/A</v>
      </c>
      <c r="E31" s="46" t="s">
        <v>28</v>
      </c>
      <c r="F31" s="47">
        <f t="shared" si="3"/>
        <v>200</v>
      </c>
      <c r="G31" s="46" t="s">
        <v>86</v>
      </c>
      <c r="H31" s="48">
        <v>12</v>
      </c>
      <c r="I31" s="44">
        <v>355</v>
      </c>
      <c r="J31" s="44">
        <v>1.1499999999999999</v>
      </c>
      <c r="K31" s="47">
        <f t="shared" si="4"/>
        <v>308.69565217391306</v>
      </c>
      <c r="L31" s="46">
        <v>4</v>
      </c>
      <c r="M31" s="46">
        <v>0.75</v>
      </c>
      <c r="N31" s="46">
        <v>0</v>
      </c>
      <c r="O31" s="48">
        <f t="shared" si="0"/>
        <v>33.75</v>
      </c>
      <c r="P31" s="47" t="e">
        <f t="shared" si="7"/>
        <v>#N/A</v>
      </c>
      <c r="Q31" s="44">
        <f t="shared" si="2"/>
        <v>3420</v>
      </c>
      <c r="R31" s="44" t="e">
        <f t="shared" si="5"/>
        <v>#N/A</v>
      </c>
    </row>
    <row r="32" spans="1:18">
      <c r="A32" s="44">
        <v>25</v>
      </c>
      <c r="B32" s="44" t="s">
        <v>84</v>
      </c>
      <c r="C32" s="44" t="s">
        <v>157</v>
      </c>
      <c r="D32" s="46" t="e">
        <f>VLOOKUP(C32,Front!$G$2:$H$10,2,FALSE)</f>
        <v>#N/A</v>
      </c>
      <c r="E32" s="46" t="s">
        <v>28</v>
      </c>
      <c r="F32" s="47">
        <f t="shared" si="3"/>
        <v>200</v>
      </c>
      <c r="G32" s="46" t="s">
        <v>86</v>
      </c>
      <c r="H32" s="48">
        <v>12</v>
      </c>
      <c r="I32" s="44">
        <v>355</v>
      </c>
      <c r="J32" s="44">
        <v>1.1499999999999999</v>
      </c>
      <c r="K32" s="47">
        <f t="shared" si="4"/>
        <v>308.69565217391306</v>
      </c>
      <c r="L32" s="46">
        <v>4</v>
      </c>
      <c r="M32" s="46">
        <v>0.75</v>
      </c>
      <c r="N32" s="46">
        <v>0</v>
      </c>
      <c r="O32" s="48">
        <f t="shared" si="0"/>
        <v>33.75</v>
      </c>
      <c r="P32" s="47" t="e">
        <f t="shared" si="7"/>
        <v>#N/A</v>
      </c>
      <c r="Q32" s="44">
        <f t="shared" si="2"/>
        <v>5820</v>
      </c>
      <c r="R32" s="44" t="e">
        <f t="shared" si="5"/>
        <v>#N/A</v>
      </c>
    </row>
    <row r="33" spans="1:18">
      <c r="A33" s="44">
        <v>26</v>
      </c>
      <c r="B33" s="44" t="s">
        <v>84</v>
      </c>
      <c r="C33" s="44" t="s">
        <v>155</v>
      </c>
      <c r="D33" s="46" t="e">
        <f>VLOOKUP(C33,Front!$G$2:$H$10,2,FALSE)</f>
        <v>#N/A</v>
      </c>
      <c r="E33" s="46" t="s">
        <v>28</v>
      </c>
      <c r="F33" s="47">
        <f t="shared" si="3"/>
        <v>200</v>
      </c>
      <c r="G33" s="46" t="s">
        <v>86</v>
      </c>
      <c r="H33" s="48">
        <v>12</v>
      </c>
      <c r="I33" s="44">
        <v>355</v>
      </c>
      <c r="J33" s="44">
        <v>1.1499999999999999</v>
      </c>
      <c r="K33" s="47">
        <f t="shared" si="4"/>
        <v>308.69565217391306</v>
      </c>
      <c r="L33" s="46">
        <v>4</v>
      </c>
      <c r="M33" s="46">
        <v>0.75</v>
      </c>
      <c r="N33" s="46">
        <v>0</v>
      </c>
      <c r="O33" s="48">
        <f t="shared" si="0"/>
        <v>33.75</v>
      </c>
      <c r="P33" s="47" t="e">
        <f t="shared" si="7"/>
        <v>#N/A</v>
      </c>
      <c r="Q33" s="44">
        <f t="shared" si="2"/>
        <v>3420</v>
      </c>
      <c r="R33" s="44" t="e">
        <f t="shared" si="5"/>
        <v>#N/A</v>
      </c>
    </row>
    <row r="34" spans="1:18">
      <c r="A34" s="44">
        <v>27</v>
      </c>
      <c r="B34" s="44" t="s">
        <v>84</v>
      </c>
      <c r="C34" s="44" t="s">
        <v>155</v>
      </c>
      <c r="D34" s="46" t="e">
        <f>VLOOKUP(C34,Front!$G$2:$H$10,2,FALSE)</f>
        <v>#N/A</v>
      </c>
      <c r="E34" s="46" t="s">
        <v>28</v>
      </c>
      <c r="F34" s="47">
        <f t="shared" si="3"/>
        <v>200</v>
      </c>
      <c r="G34" s="46" t="s">
        <v>86</v>
      </c>
      <c r="H34" s="48">
        <v>12</v>
      </c>
      <c r="I34" s="44">
        <v>355</v>
      </c>
      <c r="J34" s="44">
        <v>1.1499999999999999</v>
      </c>
      <c r="K34" s="47">
        <f t="shared" ref="K34:K35" si="9">I34/J34</f>
        <v>308.69565217391306</v>
      </c>
      <c r="L34" s="46">
        <v>4</v>
      </c>
      <c r="M34" s="46">
        <v>0.75</v>
      </c>
      <c r="N34" s="46">
        <v>0</v>
      </c>
      <c r="O34" s="48">
        <f t="shared" ref="O34:O35" si="10">(rho*grav*N34+25)*1.35</f>
        <v>33.75</v>
      </c>
      <c r="P34" s="47" t="e">
        <f t="shared" si="7"/>
        <v>#N/A</v>
      </c>
      <c r="Q34" s="44">
        <f t="shared" si="2"/>
        <v>3420</v>
      </c>
      <c r="R34" s="44" t="e">
        <f t="shared" si="5"/>
        <v>#N/A</v>
      </c>
    </row>
    <row r="35" spans="1:18">
      <c r="A35" s="44">
        <v>28</v>
      </c>
      <c r="B35" s="44" t="s">
        <v>84</v>
      </c>
      <c r="C35" s="44" t="s">
        <v>155</v>
      </c>
      <c r="D35" s="46" t="e">
        <f>VLOOKUP(C35,Front!$G$2:$H$10,2,FALSE)</f>
        <v>#N/A</v>
      </c>
      <c r="E35" s="46" t="s">
        <v>28</v>
      </c>
      <c r="F35" s="47">
        <f t="shared" si="3"/>
        <v>200</v>
      </c>
      <c r="G35" s="46" t="s">
        <v>86</v>
      </c>
      <c r="H35" s="48">
        <v>12</v>
      </c>
      <c r="I35" s="44">
        <v>355</v>
      </c>
      <c r="J35" s="44">
        <v>1.1499999999999999</v>
      </c>
      <c r="K35" s="47">
        <f t="shared" si="9"/>
        <v>308.69565217391306</v>
      </c>
      <c r="L35" s="46">
        <v>4</v>
      </c>
      <c r="M35" s="46">
        <v>0.75</v>
      </c>
      <c r="N35" s="46">
        <v>0</v>
      </c>
      <c r="O35" s="48">
        <f t="shared" si="10"/>
        <v>33.75</v>
      </c>
      <c r="P35" s="47" t="e">
        <f t="shared" si="7"/>
        <v>#N/A</v>
      </c>
      <c r="Q35" s="44">
        <f t="shared" si="2"/>
        <v>3420</v>
      </c>
      <c r="R35" s="44" t="e">
        <f t="shared" si="5"/>
        <v>#N/A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2</vt:i4>
      </vt:variant>
    </vt:vector>
  </HeadingPairs>
  <TitlesOfParts>
    <vt:vector size="8" baseType="lpstr">
      <vt:lpstr>Front</vt:lpstr>
      <vt:lpstr>Scantling</vt:lpstr>
      <vt:lpstr>Plates</vt:lpstr>
      <vt:lpstr>Stiffeners</vt:lpstr>
      <vt:lpstr>Weld_Connection</vt:lpstr>
      <vt:lpstr>connection_area</vt:lpstr>
      <vt:lpstr>grav</vt:lpstr>
      <vt:lpstr>rho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MSI</dc:creator>
  <cp:keywords/>
  <dc:description/>
  <cp:lastModifiedBy>우열 정</cp:lastModifiedBy>
  <cp:revision/>
  <cp:lastPrinted>2023-10-12T12:09:42Z</cp:lastPrinted>
  <dcterms:created xsi:type="dcterms:W3CDTF">2023-07-28T00:04:22Z</dcterms:created>
  <dcterms:modified xsi:type="dcterms:W3CDTF">2023-10-12T18:26:39Z</dcterms:modified>
  <cp:category/>
  <cp:contentStatus/>
</cp:coreProperties>
</file>