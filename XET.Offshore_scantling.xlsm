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EngExcel\"/>
    </mc:Choice>
  </mc:AlternateContent>
  <xr:revisionPtr revIDLastSave="0" documentId="13_ncr:1_{E981D25A-F1B4-4EC5-B287-735DC8A07303}" xr6:coauthVersionLast="47" xr6:coauthVersionMax="47" xr10:uidLastSave="{00000000-0000-0000-0000-000000000000}"/>
  <bookViews>
    <workbookView xWindow="-108" yWindow="-108" windowWidth="30936" windowHeight="16776" activeTab="4" xr2:uid="{FCC1A85E-97E3-4657-BDF1-A65A890ACCBE}"/>
  </bookViews>
  <sheets>
    <sheet name="Front" sheetId="2" r:id="rId1"/>
    <sheet name="Scantling" sheetId="1" r:id="rId2"/>
    <sheet name="Plates" sheetId="5" r:id="rId3"/>
    <sheet name="Stiffeners" sheetId="6" r:id="rId4"/>
    <sheet name="Stiffeners (2)" sheetId="7" r:id="rId5"/>
    <sheet name="Girder" sheetId="8" r:id="rId6"/>
  </sheets>
  <functionGroups builtInGroupCount="19"/>
  <externalReferences>
    <externalReference r:id="rId7"/>
  </externalReferences>
  <definedNames>
    <definedName name="grav" localSheetId="5">Girder!#REF!</definedName>
    <definedName name="grav" localSheetId="2">Plates!#REF!</definedName>
    <definedName name="grav" localSheetId="3">Stiffeners!#REF!</definedName>
    <definedName name="grav" localSheetId="4">'Stiffeners (2)'!#REF!</definedName>
    <definedName name="grav">Scantling!$E$5</definedName>
    <definedName name="rho" localSheetId="5">Girder!#REF!</definedName>
    <definedName name="rho" localSheetId="2">Plates!#REF!</definedName>
    <definedName name="rho" localSheetId="3">Stiffeners!#REF!</definedName>
    <definedName name="rho" localSheetId="4">'Stiffeners (2)'!#REF!</definedName>
    <definedName name="rho">Scantling!$D$5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2" i="7" l="1"/>
  <c r="G37" i="7"/>
  <c r="G32" i="7"/>
  <c r="E17" i="8" l="1"/>
  <c r="E16" i="8"/>
  <c r="E15" i="8"/>
  <c r="E10" i="8"/>
  <c r="E15" i="7"/>
  <c r="E14" i="7"/>
  <c r="E11" i="7"/>
  <c r="B27" i="6" l="1"/>
  <c r="E13" i="5"/>
  <c r="E14" i="5"/>
  <c r="E20" i="5"/>
  <c r="D41" i="1"/>
  <c r="O41" i="1" s="1"/>
  <c r="E14" i="6"/>
  <c r="E11" i="6"/>
  <c r="E10" i="5"/>
  <c r="H4" i="2"/>
  <c r="H5" i="2"/>
  <c r="H6" i="2"/>
  <c r="H7" i="2"/>
  <c r="H3" i="2"/>
  <c r="I50" i="1" l="1"/>
  <c r="I45" i="1"/>
  <c r="I39" i="1"/>
  <c r="I60" i="1"/>
  <c r="K60" i="1" s="1"/>
  <c r="I59" i="1"/>
  <c r="K59" i="1" s="1"/>
  <c r="I58" i="1"/>
  <c r="K58" i="1" s="1"/>
  <c r="I57" i="1"/>
  <c r="K57" i="1" s="1"/>
  <c r="I56" i="1"/>
  <c r="K56" i="1" s="1"/>
  <c r="C52" i="1"/>
  <c r="C53" i="1" s="1"/>
  <c r="C54" i="1" s="1"/>
  <c r="C55" i="1" s="1"/>
  <c r="C56" i="1" s="1"/>
  <c r="N59" i="1" l="1"/>
  <c r="N60" i="1"/>
  <c r="N57" i="1"/>
  <c r="N58" i="1"/>
  <c r="N56" i="1"/>
  <c r="C57" i="1"/>
  <c r="D56" i="1"/>
  <c r="L56" i="1" l="1"/>
  <c r="O56" i="1"/>
  <c r="C58" i="1"/>
  <c r="D57" i="1"/>
  <c r="L57" i="1" l="1"/>
  <c r="O57" i="1"/>
  <c r="C59" i="1"/>
  <c r="D58" i="1"/>
  <c r="L58" i="1" l="1"/>
  <c r="O58" i="1"/>
  <c r="D59" i="1"/>
  <c r="C60" i="1"/>
  <c r="D60" i="1" s="1"/>
  <c r="L60" i="1" l="1"/>
  <c r="O60" i="1"/>
  <c r="L59" i="1"/>
  <c r="O59" i="1"/>
  <c r="J16" i="1" l="1"/>
  <c r="M16" i="1"/>
  <c r="M22" i="1"/>
  <c r="M27" i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I55" i="1"/>
  <c r="I54" i="1"/>
  <c r="N54" i="1" s="1"/>
  <c r="K54" i="1"/>
  <c r="I53" i="1"/>
  <c r="D53" i="1"/>
  <c r="D54" i="1"/>
  <c r="D52" i="1"/>
  <c r="O52" i="1" s="1"/>
  <c r="I52" i="1"/>
  <c r="N52" i="1" s="1"/>
  <c r="D47" i="1"/>
  <c r="I47" i="1"/>
  <c r="I41" i="1"/>
  <c r="F30" i="1"/>
  <c r="K30" i="1" s="1"/>
  <c r="F29" i="1"/>
  <c r="K29" i="1" s="1"/>
  <c r="F28" i="1"/>
  <c r="K28" i="1" s="1"/>
  <c r="F27" i="1"/>
  <c r="K27" i="1" s="1"/>
  <c r="L28" i="1"/>
  <c r="F22" i="1"/>
  <c r="K22" i="1" s="1"/>
  <c r="H5" i="1"/>
  <c r="F16" i="1"/>
  <c r="K41" i="1" l="1"/>
  <c r="N41" i="1"/>
  <c r="K55" i="1"/>
  <c r="N55" i="1"/>
  <c r="K47" i="1"/>
  <c r="L47" i="1" s="1"/>
  <c r="N47" i="1"/>
  <c r="O47" i="1" s="1"/>
  <c r="K52" i="1"/>
  <c r="L52" i="1" s="1"/>
  <c r="K53" i="1"/>
  <c r="L53" i="1" s="1"/>
  <c r="N53" i="1"/>
  <c r="O53" i="1" s="1"/>
  <c r="L54" i="1"/>
  <c r="O54" i="1"/>
  <c r="L41" i="1"/>
  <c r="D55" i="1"/>
  <c r="M28" i="1"/>
  <c r="N28" i="1" s="1"/>
  <c r="L29" i="1"/>
  <c r="M29" i="1" s="1"/>
  <c r="K16" i="1"/>
  <c r="N16" i="1" s="1"/>
  <c r="N22" i="1"/>
  <c r="N27" i="1"/>
  <c r="L55" i="1" l="1"/>
  <c r="O55" i="1"/>
  <c r="N29" i="1"/>
  <c r="L30" i="1"/>
  <c r="M30" i="1" l="1"/>
  <c r="N30" i="1" s="1"/>
</calcChain>
</file>

<file path=xl/sharedStrings.xml><?xml version="1.0" encoding="utf-8"?>
<sst xmlns="http://schemas.openxmlformats.org/spreadsheetml/2006/main" count="566" uniqueCount="190">
  <si>
    <t>Local Scantling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</si>
  <si>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</si>
  <si>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</si>
  <si>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</si>
  <si>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</si>
  <si>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</si>
  <si>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</si>
  <si>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</si>
  <si>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</si>
  <si>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</si>
  <si>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</si>
  <si>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</si>
  <si>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</si>
  <si>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</si>
  <si>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Loading :</t>
    <phoneticPr fontId="1" type="noConversion"/>
  </si>
  <si>
    <t>N</t>
    <phoneticPr fontId="1" type="noConversion"/>
  </si>
  <si>
    <t>Static Loadings</t>
    <phoneticPr fontId="1" type="noConversion"/>
  </si>
  <si>
    <t>O</t>
    <phoneticPr fontId="1" type="noConversion"/>
  </si>
  <si>
    <t>P</t>
    <phoneticPr fontId="1" type="noConversion"/>
  </si>
  <si>
    <t>Static Loadings</t>
  </si>
  <si>
    <t>Q</t>
    <phoneticPr fontId="1" type="noConversion"/>
  </si>
  <si>
    <t>m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</si>
  <si>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</si>
  <si>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</si>
  <si>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</si>
  <si>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</si>
  <si>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</si>
  <si>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</si>
  <si>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</si>
  <si>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</si>
  <si>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</si>
  <si>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h</t>
    <phoneticPr fontId="1" type="noConversion"/>
  </si>
  <si>
    <t>pd</t>
    <phoneticPr fontId="1" type="noConversion"/>
  </si>
  <si>
    <t>Maximum Tank Pressure</t>
    <phoneticPr fontId="1" type="noConversion"/>
  </si>
  <si>
    <t>r</t>
    <phoneticPr fontId="1" type="noConversion"/>
  </si>
  <si>
    <t>g0</t>
    <phoneticPr fontId="1" type="noConversion"/>
  </si>
  <si>
    <t>hmax</t>
    <phoneticPr fontId="1" type="noConversion"/>
  </si>
  <si>
    <t>g</t>
    <phoneticPr fontId="1" type="noConversion"/>
  </si>
  <si>
    <t>Plating</t>
    <phoneticPr fontId="1" type="noConversion"/>
  </si>
  <si>
    <t>Bottom Plating</t>
    <phoneticPr fontId="1" type="noConversion"/>
  </si>
  <si>
    <t>ka</t>
    <phoneticPr fontId="1" type="noConversion"/>
  </si>
  <si>
    <t>s</t>
    <phoneticPr fontId="1" type="noConversion"/>
  </si>
  <si>
    <t>kpp</t>
    <phoneticPr fontId="1" type="noConversion"/>
  </si>
  <si>
    <t>fy</t>
    <phoneticPr fontId="1" type="noConversion"/>
  </si>
  <si>
    <r>
      <t>g</t>
    </r>
    <r>
      <rPr>
        <vertAlign val="subscript"/>
        <sz val="11"/>
        <color theme="1"/>
        <rFont val="Arial"/>
        <family val="2"/>
      </rPr>
      <t>m</t>
    </r>
    <phoneticPr fontId="1" type="noConversion"/>
  </si>
  <si>
    <t>t</t>
    <phoneticPr fontId="1" type="noConversion"/>
  </si>
  <si>
    <t>Deck Plating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</si>
  <si>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</si>
  <si>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</si>
  <si>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</si>
  <si>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e</t>
    <phoneticPr fontId="1" type="noConversion"/>
  </si>
  <si>
    <t>f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</si>
  <si>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</si>
  <si>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</si>
  <si>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</si>
  <si>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</si>
  <si>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</si>
  <si>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</si>
  <si>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</si>
  <si>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</si>
  <si>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</si>
  <si>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</si>
  <si>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</si>
  <si>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</si>
  <si>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</si>
  <si>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</si>
  <si>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d</t>
    <phoneticPr fontId="1" type="noConversion"/>
  </si>
  <si>
    <t>Ext. Shell Plating</t>
    <phoneticPr fontId="1" type="noConversion"/>
  </si>
  <si>
    <t>Stiffeners</t>
    <phoneticPr fontId="1" type="noConversion"/>
  </si>
  <si>
    <t>minimum Zs =</t>
    <phoneticPr fontId="1" type="noConversion"/>
  </si>
  <si>
    <r>
      <t>(mm</t>
    </r>
    <r>
      <rPr>
        <vertAlign val="superscript"/>
        <sz val="11"/>
        <color theme="1"/>
        <rFont val="맑은 고딕"/>
        <family val="3"/>
        <charset val="129"/>
        <scheme val="minor"/>
      </rPr>
      <t>3</t>
    </r>
    <r>
      <rPr>
        <sz val="11"/>
        <color theme="1"/>
        <rFont val="맑은 고딕"/>
        <family val="2"/>
        <charset val="129"/>
        <scheme val="minor"/>
      </rPr>
      <t>)</t>
    </r>
    <phoneticPr fontId="1" type="noConversion"/>
  </si>
  <si>
    <t>Bottom Stiffeners</t>
    <phoneticPr fontId="1" type="noConversion"/>
  </si>
  <si>
    <t>kps</t>
    <phoneticPr fontId="1" type="noConversion"/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</si>
  <si>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Arial"/>
        <family val="2"/>
      </rPr>
      <t>pd2</t>
    </r>
    <phoneticPr fontId="1" type="noConversion"/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</si>
  <si>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Arial"/>
        <family val="2"/>
      </rPr>
      <t>jd</t>
    </r>
    <phoneticPr fontId="1" type="noConversion"/>
  </si>
  <si>
    <t>km</t>
    <phoneticPr fontId="1" type="noConversion"/>
  </si>
  <si>
    <t>Deck Stiffeners</t>
    <phoneticPr fontId="1" type="noConversion"/>
  </si>
  <si>
    <r>
      <t>15*10</t>
    </r>
    <r>
      <rPr>
        <vertAlign val="superscript"/>
        <sz val="11"/>
        <color theme="1"/>
        <rFont val="맑은 고딕"/>
        <family val="3"/>
        <charset val="129"/>
        <scheme val="minor"/>
      </rPr>
      <t>3</t>
    </r>
    <phoneticPr fontId="1" type="noConversion"/>
  </si>
  <si>
    <r>
      <t>g</t>
    </r>
    <r>
      <rPr>
        <sz val="11"/>
        <color theme="1"/>
        <rFont val="Arial"/>
        <family val="2"/>
      </rPr>
      <t>f,</t>
    </r>
    <r>
      <rPr>
        <vertAlign val="subscript"/>
        <sz val="11"/>
        <color theme="1"/>
        <rFont val="Arial"/>
        <family val="2"/>
      </rPr>
      <t>GQ</t>
    </r>
    <phoneticPr fontId="1" type="noConversion"/>
  </si>
  <si>
    <t>s (m)</t>
    <phoneticPr fontId="1" type="noConversion"/>
  </si>
  <si>
    <t>fy(MPa)</t>
    <phoneticPr fontId="1" type="noConversion"/>
  </si>
  <si>
    <t>fyd(MPa)</t>
    <phoneticPr fontId="1" type="noConversion"/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</si>
  <si>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Arial"/>
        <family val="2"/>
      </rPr>
      <t>pd1</t>
    </r>
    <r>
      <rPr>
        <sz val="11"/>
        <color theme="1"/>
        <rFont val="맑은 고딕"/>
        <family val="2"/>
        <charset val="129"/>
        <scheme val="minor"/>
      </rPr>
      <t>(MPa)</t>
    </r>
    <phoneticPr fontId="1" type="noConversion"/>
  </si>
  <si>
    <t>h(m)</t>
    <phoneticPr fontId="1" type="noConversion"/>
  </si>
  <si>
    <t>pd(kN/m2)</t>
    <phoneticPr fontId="1" type="noConversion"/>
  </si>
  <si>
    <r>
      <rPr>
        <sz val="11"/>
        <color theme="0" tint="-0.14999847407452621"/>
        <rFont val="Symbol"/>
        <family val="1"/>
        <charset val="2"/>
      </rPr>
      <t>s</t>
    </r>
    <r>
      <rPr>
        <vertAlign val="subscript"/>
        <sz val="11"/>
        <color theme="0" tint="-0.14999847407452621"/>
        <rFont val="Arial"/>
        <family val="2"/>
      </rPr>
      <t>x</t>
    </r>
    <r>
      <rPr>
        <sz val="11"/>
        <color theme="0" tint="-0.14999847407452621"/>
        <rFont val="맑은 고딕"/>
        <family val="1"/>
        <charset val="2"/>
      </rPr>
      <t>(MPa)</t>
    </r>
    <phoneticPr fontId="1" type="noConversion"/>
  </si>
  <si>
    <r>
      <rPr>
        <sz val="11"/>
        <color theme="0" tint="-0.14999847407452621"/>
        <rFont val="Symbol"/>
        <family val="1"/>
        <charset val="2"/>
      </rPr>
      <t>s</t>
    </r>
    <r>
      <rPr>
        <vertAlign val="subscript"/>
        <sz val="11"/>
        <color theme="0" tint="-0.14999847407452621"/>
        <rFont val="Arial"/>
        <family val="2"/>
      </rPr>
      <t>y</t>
    </r>
    <r>
      <rPr>
        <sz val="11"/>
        <color theme="0" tint="-0.14999847407452621"/>
        <rFont val="맑은 고딕"/>
        <family val="1"/>
        <charset val="2"/>
      </rPr>
      <t>(MPa)</t>
    </r>
    <phoneticPr fontId="1" type="noConversion"/>
  </si>
  <si>
    <r>
      <rPr>
        <sz val="11"/>
        <color theme="0" tint="-0.14999847407452621"/>
        <rFont val="Symbol"/>
        <family val="1"/>
        <charset val="2"/>
      </rPr>
      <t>s</t>
    </r>
    <r>
      <rPr>
        <vertAlign val="subscript"/>
        <sz val="11"/>
        <color theme="0" tint="-0.14999847407452621"/>
        <rFont val="Arial"/>
        <family val="2"/>
      </rPr>
      <t>jd</t>
    </r>
    <r>
      <rPr>
        <sz val="11"/>
        <color theme="0" tint="-0.14999847407452621"/>
        <rFont val="맑은 고딕"/>
        <family val="1"/>
        <charset val="2"/>
      </rPr>
      <t>(MPa)</t>
    </r>
    <phoneticPr fontId="1" type="noConversion"/>
  </si>
  <si>
    <r>
      <t>t</t>
    </r>
    <r>
      <rPr>
        <sz val="11"/>
        <color theme="0" tint="-0.14999847407452621"/>
        <rFont val="Arial"/>
        <family val="2"/>
      </rPr>
      <t>(MPa)</t>
    </r>
    <phoneticPr fontId="1" type="noConversion"/>
  </si>
  <si>
    <t>l (m)</t>
    <phoneticPr fontId="1" type="noConversion"/>
  </si>
  <si>
    <t>h (m)</t>
    <phoneticPr fontId="1" type="noConversion"/>
  </si>
  <si>
    <t>Zs (cm3)</t>
    <phoneticPr fontId="1" type="noConversion"/>
  </si>
  <si>
    <t>250 x 90 x 12/16 I.A</t>
    <phoneticPr fontId="1" type="noConversion"/>
  </si>
  <si>
    <t>300 x 90 x 11/16 I.A</t>
    <phoneticPr fontId="1" type="noConversion"/>
  </si>
  <si>
    <t>Z =</t>
    <phoneticPr fontId="1" type="noConversion"/>
  </si>
  <si>
    <r>
      <t>cm</t>
    </r>
    <r>
      <rPr>
        <vertAlign val="superscript"/>
        <sz val="11"/>
        <color theme="1"/>
        <rFont val="맑은 고딕"/>
        <family val="3"/>
        <charset val="129"/>
        <scheme val="minor"/>
      </rPr>
      <t>3</t>
    </r>
    <phoneticPr fontId="1" type="noConversion"/>
  </si>
  <si>
    <t>250 x 90 x 10/15 I.A</t>
    <phoneticPr fontId="1" type="noConversion"/>
  </si>
  <si>
    <t>Ext. Shell Plating Stiffeners</t>
    <phoneticPr fontId="1" type="noConversion"/>
  </si>
  <si>
    <t>(ref. 200x90x9/14 I.A, Z=335)</t>
    <phoneticPr fontId="1" type="noConversion"/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</si>
  <si>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Arial"/>
        <family val="2"/>
      </rPr>
      <t>pds</t>
    </r>
    <phoneticPr fontId="1" type="noConversion"/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</si>
  <si>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Arial"/>
        <family val="2"/>
      </rPr>
      <t>xd</t>
    </r>
    <phoneticPr fontId="1" type="noConversion"/>
  </si>
  <si>
    <t>As</t>
    <phoneticPr fontId="1" type="noConversion"/>
  </si>
  <si>
    <t>As =</t>
    <phoneticPr fontId="1" type="noConversion"/>
  </si>
  <si>
    <t>Girder or Trans. Web</t>
    <phoneticPr fontId="1" type="noConversion"/>
  </si>
  <si>
    <t>Offshore Structure</t>
    <phoneticPr fontId="1" type="noConversion"/>
  </si>
  <si>
    <t>Description :</t>
    <phoneticPr fontId="1" type="noConversion"/>
  </si>
  <si>
    <t>Water Head</t>
    <phoneticPr fontId="1" type="noConversion"/>
  </si>
  <si>
    <t>Design Pressure</t>
    <phoneticPr fontId="1" type="noConversion"/>
  </si>
  <si>
    <t>f1 =</t>
    <phoneticPr fontId="1" type="noConversion"/>
  </si>
  <si>
    <t>Material</t>
    <phoneticPr fontId="1" type="noConversion"/>
  </si>
  <si>
    <t>NV-NS</t>
    <phoneticPr fontId="1" type="noConversion"/>
  </si>
  <si>
    <t>NV-27</t>
    <phoneticPr fontId="1" type="noConversion"/>
  </si>
  <si>
    <t>NV-32</t>
    <phoneticPr fontId="1" type="noConversion"/>
  </si>
  <si>
    <t>NV-36</t>
  </si>
  <si>
    <t>NV-36</t>
    <phoneticPr fontId="1" type="noConversion"/>
  </si>
  <si>
    <t>NV-40</t>
    <phoneticPr fontId="1" type="noConversion"/>
  </si>
  <si>
    <t xml:space="preserve">kpp = </t>
    <phoneticPr fontId="1" type="noConversion"/>
  </si>
  <si>
    <t>ka =</t>
    <phoneticPr fontId="1" type="noConversion"/>
  </si>
  <si>
    <t>span =</t>
    <phoneticPr fontId="1" type="noConversion"/>
  </si>
  <si>
    <t>space =</t>
    <phoneticPr fontId="1" type="noConversion"/>
  </si>
  <si>
    <t>Allowable Stress</t>
    <phoneticPr fontId="1" type="noConversion"/>
  </si>
  <si>
    <t>Bottom Shell-1</t>
    <phoneticPr fontId="1" type="noConversion"/>
  </si>
  <si>
    <r>
      <t>g</t>
    </r>
    <r>
      <rPr>
        <sz val="9"/>
        <color theme="1"/>
        <rFont val="Arial"/>
        <family val="2"/>
      </rPr>
      <t>f,</t>
    </r>
    <r>
      <rPr>
        <vertAlign val="subscript"/>
        <sz val="9"/>
        <color theme="1"/>
        <rFont val="Arial"/>
        <family val="2"/>
      </rPr>
      <t>GQ</t>
    </r>
    <phoneticPr fontId="1" type="noConversion"/>
  </si>
  <si>
    <r>
      <t>kN/m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phoneticPr fontId="1" type="noConversion"/>
  </si>
  <si>
    <r>
      <t>N/mm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phoneticPr fontId="1" type="noConversion"/>
  </si>
  <si>
    <r>
      <rPr>
        <sz val="9"/>
        <color theme="1"/>
        <rFont val="Symbol"/>
        <family val="1"/>
        <charset val="2"/>
      </rPr>
      <t>g</t>
    </r>
    <r>
      <rPr>
        <sz val="9"/>
        <color theme="1"/>
        <rFont val="맑은 고딕"/>
        <family val="2"/>
        <charset val="129"/>
        <scheme val="minor"/>
      </rPr>
      <t>m</t>
    </r>
    <phoneticPr fontId="1" type="noConversion"/>
  </si>
  <si>
    <t xml:space="preserve">kps= </t>
    <phoneticPr fontId="1" type="noConversion"/>
  </si>
  <si>
    <t>km =</t>
    <phoneticPr fontId="1" type="noConversion"/>
  </si>
  <si>
    <t>treq /</t>
    <phoneticPr fontId="1" type="noConversion"/>
  </si>
  <si>
    <t>Provided Profile:</t>
    <phoneticPr fontId="1" type="noConversion"/>
  </si>
  <si>
    <t>250 x 90 x 12 /16 I.A</t>
    <phoneticPr fontId="1" type="noConversion"/>
  </si>
  <si>
    <t>tmin /</t>
    <phoneticPr fontId="1" type="noConversion"/>
  </si>
  <si>
    <t>Yield Stress</t>
    <phoneticPr fontId="1" type="noConversion"/>
  </si>
  <si>
    <r>
      <rPr>
        <sz val="9"/>
        <color theme="1"/>
        <rFont val="Symbol"/>
        <family val="1"/>
        <charset val="2"/>
      </rPr>
      <t>g,</t>
    </r>
    <r>
      <rPr>
        <sz val="9"/>
        <color theme="1"/>
        <rFont val="맑은 고딕"/>
        <family val="3"/>
        <charset val="129"/>
        <scheme val="minor"/>
      </rPr>
      <t xml:space="preserve"> m</t>
    </r>
    <phoneticPr fontId="1" type="noConversion"/>
  </si>
  <si>
    <r>
      <rPr>
        <sz val="9"/>
        <color theme="1"/>
        <rFont val="Symbol"/>
        <family val="1"/>
        <charset val="2"/>
      </rPr>
      <t>s</t>
    </r>
    <r>
      <rPr>
        <sz val="9"/>
        <color theme="1"/>
        <rFont val="맑은 고딕"/>
        <family val="3"/>
        <charset val="129"/>
        <scheme val="minor"/>
      </rPr>
      <t>pd1</t>
    </r>
    <phoneticPr fontId="1" type="noConversion"/>
  </si>
  <si>
    <t>space</t>
    <phoneticPr fontId="1" type="noConversion"/>
  </si>
  <si>
    <t>span</t>
    <phoneticPr fontId="1" type="noConversion"/>
  </si>
  <si>
    <t>tc</t>
    <phoneticPr fontId="1" type="noConversion"/>
  </si>
  <si>
    <t>tc =</t>
    <phoneticPr fontId="1" type="noConversion"/>
  </si>
  <si>
    <t>Bottom Shell in Block-2 - Internal tank static pressure(Installation conditions)</t>
    <phoneticPr fontId="1" type="noConversion"/>
  </si>
  <si>
    <t>Bottom Shell in Block-1 - Internal tank static pressure(Installation conditions)</t>
    <phoneticPr fontId="1" type="noConversion"/>
  </si>
  <si>
    <t>Side Shell in Block-1, 2 - Internal tank static pressure(Installation conditions)</t>
    <phoneticPr fontId="1" type="noConversion"/>
  </si>
  <si>
    <t>Trans. BHD bet. Block-1 and Block 2 - Internal tank static pressure</t>
    <phoneticPr fontId="1" type="noConversion"/>
  </si>
  <si>
    <t>Trans. BHD bet. Block-2 and Block 3 - Internal tank static pressure</t>
    <phoneticPr fontId="1" type="noConversion"/>
  </si>
  <si>
    <t>Upper Deck</t>
    <phoneticPr fontId="1" type="noConversion"/>
  </si>
  <si>
    <t>Bottom Shell-1</t>
  </si>
  <si>
    <t>Mat /</t>
  </si>
  <si>
    <t>fy /</t>
  </si>
  <si>
    <t>g,m /</t>
  </si>
  <si>
    <t>sig,pd1 /</t>
  </si>
  <si>
    <t>gf,GQ /</t>
  </si>
  <si>
    <t>pd /</t>
  </si>
  <si>
    <t>space/</t>
  </si>
  <si>
    <t>span/</t>
  </si>
  <si>
    <t>km /</t>
  </si>
  <si>
    <t>kps /</t>
  </si>
  <si>
    <t>Minimum yield stress</t>
    <phoneticPr fontId="1" type="noConversion"/>
  </si>
  <si>
    <t>fy /</t>
    <phoneticPr fontId="1" type="noConversion"/>
  </si>
  <si>
    <r>
      <rPr>
        <sz val="8"/>
        <color theme="1"/>
        <rFont val="Symbol"/>
        <family val="1"/>
        <charset val="2"/>
      </rPr>
      <t>g</t>
    </r>
    <r>
      <rPr>
        <sz val="9"/>
        <color theme="1"/>
        <rFont val="Arial"/>
        <family val="2"/>
      </rPr>
      <t>m</t>
    </r>
    <phoneticPr fontId="1" type="noConversion"/>
  </si>
  <si>
    <r>
      <rPr>
        <sz val="8"/>
        <rFont val="Symbol"/>
        <family val="1"/>
        <charset val="2"/>
      </rPr>
      <t>s</t>
    </r>
    <r>
      <rPr>
        <sz val="8"/>
        <rFont val="맑은 고딕"/>
        <family val="3"/>
        <charset val="129"/>
      </rPr>
      <t>,pd1 /</t>
    </r>
    <phoneticPr fontId="1" type="noConversion"/>
  </si>
  <si>
    <r>
      <rPr>
        <sz val="8"/>
        <color theme="1"/>
        <rFont val="Symbol"/>
        <family val="1"/>
        <charset val="2"/>
      </rPr>
      <t>g</t>
    </r>
    <r>
      <rPr>
        <sz val="9"/>
        <color theme="1"/>
        <rFont val="Arial"/>
        <family val="2"/>
      </rPr>
      <t>f,</t>
    </r>
    <r>
      <rPr>
        <vertAlign val="subscript"/>
        <sz val="9"/>
        <color theme="1"/>
        <rFont val="Arial"/>
        <family val="2"/>
      </rPr>
      <t>GQ</t>
    </r>
    <phoneticPr fontId="1" type="noConversion"/>
  </si>
  <si>
    <t>pd /</t>
    <phoneticPr fontId="1" type="noConversion"/>
  </si>
  <si>
    <t>space/</t>
    <phoneticPr fontId="1" type="noConversion"/>
  </si>
  <si>
    <t>span/</t>
    <phoneticPr fontId="1" type="noConversion"/>
  </si>
  <si>
    <t>km /</t>
    <phoneticPr fontId="1" type="noConversion"/>
  </si>
  <si>
    <t>kps /</t>
    <phoneticPr fontId="1" type="noConversion"/>
  </si>
  <si>
    <t>Zs /</t>
    <phoneticPr fontId="1" type="noConversion"/>
  </si>
  <si>
    <t>Ashear /</t>
    <phoneticPr fontId="1" type="noConversion"/>
  </si>
  <si>
    <r>
      <t>g</t>
    </r>
    <r>
      <rPr>
        <sz val="9"/>
        <color theme="1"/>
        <rFont val="Arial"/>
        <family val="2"/>
      </rPr>
      <t>m</t>
    </r>
    <phoneticPr fontId="1" type="noConversion"/>
  </si>
  <si>
    <t>Bottom Shell-2</t>
    <phoneticPr fontId="1" type="noConversion"/>
  </si>
  <si>
    <t>Ppd</t>
    <phoneticPr fontId="1" type="noConversion"/>
  </si>
  <si>
    <t>Ns</t>
    <phoneticPr fontId="1" type="noConversion"/>
  </si>
  <si>
    <r>
      <rPr>
        <sz val="9"/>
        <color theme="1"/>
        <rFont val="Symbol"/>
        <family val="1"/>
        <charset val="2"/>
      </rPr>
      <t>t</t>
    </r>
    <r>
      <rPr>
        <sz val="9"/>
        <color theme="1"/>
        <rFont val="맑은 고딕"/>
        <family val="2"/>
        <charset val="129"/>
        <scheme val="minor"/>
      </rPr>
      <t>pd =</t>
    </r>
    <phoneticPr fontId="1" type="noConversion"/>
  </si>
  <si>
    <t>space(b)=</t>
    <phoneticPr fontId="1" type="noConversion"/>
  </si>
  <si>
    <t>span(S)=</t>
    <phoneticPr fontId="1" type="noConversion"/>
  </si>
  <si>
    <t>kt =</t>
    <phoneticPr fontId="1" type="noConversion"/>
  </si>
  <si>
    <r>
      <rPr>
        <sz val="8"/>
        <color theme="1"/>
        <rFont val="Symbol"/>
        <family val="1"/>
        <charset val="2"/>
      </rPr>
      <t>t</t>
    </r>
    <r>
      <rPr>
        <sz val="9"/>
        <color theme="1"/>
        <rFont val="Arial"/>
        <family val="2"/>
      </rPr>
      <t>pd /</t>
    </r>
    <phoneticPr fontId="1" type="noConversion"/>
  </si>
  <si>
    <t>space(b) /</t>
    <phoneticPr fontId="1" type="noConversion"/>
  </si>
  <si>
    <t>span(S) /</t>
    <phoneticPr fontId="1" type="noConversion"/>
  </si>
  <si>
    <r>
      <t>k</t>
    </r>
    <r>
      <rPr>
        <sz val="8"/>
        <color theme="1"/>
        <rFont val="Symbol"/>
        <family val="1"/>
        <charset val="2"/>
      </rPr>
      <t>t</t>
    </r>
    <r>
      <rPr>
        <sz val="8"/>
        <color theme="1"/>
        <rFont val="맑은 고딕"/>
        <family val="3"/>
        <charset val="129"/>
        <scheme val="minor"/>
      </rPr>
      <t xml:space="preserve"> /</t>
    </r>
    <phoneticPr fontId="1" type="noConversion"/>
  </si>
  <si>
    <t>Zg /</t>
    <phoneticPr fontId="1" type="noConversion"/>
  </si>
  <si>
    <t>Aw /</t>
    <phoneticPr fontId="1" type="noConversion"/>
  </si>
  <si>
    <t>As /</t>
    <phoneticPr fontId="1" type="noConversion"/>
  </si>
  <si>
    <t>mm</t>
    <phoneticPr fontId="1" type="noConversion"/>
  </si>
  <si>
    <t>beff =</t>
    <phoneticPr fontId="1" type="noConversion"/>
  </si>
  <si>
    <t>???</t>
    <phoneticPr fontId="1" type="noConversion"/>
  </si>
  <si>
    <t>250 x 90 x 12 /16 IA</t>
    <phoneticPr fontId="1" type="noConversion"/>
  </si>
  <si>
    <t>Plt thk =</t>
    <phoneticPr fontId="1" type="noConversion"/>
  </si>
  <si>
    <t>IA</t>
    <phoneticPr fontId="1" type="noConversion"/>
  </si>
  <si>
    <r>
      <rPr>
        <sz val="8"/>
        <color theme="1"/>
        <rFont val="Symbol"/>
        <family val="1"/>
        <charset val="2"/>
      </rPr>
      <t>g</t>
    </r>
    <r>
      <rPr>
        <sz val="8"/>
        <color theme="1"/>
        <rFont val="맑은 고딕"/>
        <family val="1"/>
        <charset val="2"/>
      </rPr>
      <t>m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</si>
</sst>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00"/>
  </numFmts>
  <fonts count="3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Symbol"/>
      <family val="1"/>
      <charset val="2"/>
    </font>
    <font>
      <sz val="11"/>
      <color theme="1"/>
      <name val="맑은 고딕"/>
      <family val="1"/>
      <charset val="2"/>
    </font>
    <font>
      <u/>
      <sz val="11"/>
      <color theme="1"/>
      <name val="맑은 고딕"/>
      <family val="2"/>
      <charset val="129"/>
      <scheme val="minor"/>
    </font>
    <font>
      <b/>
      <i/>
      <sz val="16"/>
      <color theme="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vertAlign val="subscript"/>
      <sz val="11"/>
      <color theme="1"/>
      <name val="Arial"/>
      <family val="2"/>
    </font>
    <font>
      <sz val="11"/>
      <color theme="1"/>
      <name val="맑은 고딕"/>
      <family val="3"/>
      <charset val="129"/>
      <scheme val="minor"/>
    </font>
    <font>
      <b/>
      <i/>
      <u/>
      <sz val="11"/>
      <color theme="1"/>
      <name val="맑은 고딕"/>
      <family val="3"/>
      <charset val="129"/>
      <scheme val="minor"/>
    </font>
    <font>
      <vertAlign val="superscript"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Arial"/>
      <family val="2"/>
    </font>
    <font>
      <sz val="11"/>
      <color theme="0" tint="-0.14999847407452621"/>
      <name val="맑은 고딕"/>
      <family val="1"/>
      <charset val="2"/>
    </font>
    <font>
      <sz val="11"/>
      <color theme="0" tint="-0.14999847407452621"/>
      <name val="Symbol"/>
      <family val="1"/>
      <charset val="2"/>
    </font>
    <font>
      <vertAlign val="subscript"/>
      <sz val="11"/>
      <color theme="0" tint="-0.14999847407452621"/>
      <name val="Arial"/>
      <family val="2"/>
    </font>
    <font>
      <sz val="11"/>
      <color theme="0" tint="-0.14999847407452621"/>
      <name val="맑은 고딕"/>
      <family val="2"/>
      <charset val="129"/>
      <scheme val="minor"/>
    </font>
    <font>
      <sz val="11"/>
      <color theme="1"/>
      <name val="맑은 고딕"/>
      <family val="1"/>
      <charset val="2"/>
      <scheme val="minor"/>
    </font>
    <font>
      <sz val="11"/>
      <color theme="0" tint="-0.14999847407452621"/>
      <name val="Arial"/>
      <family val="2"/>
    </font>
    <font>
      <sz val="9"/>
      <color theme="1"/>
      <name val="맑은 고딕"/>
      <family val="2"/>
      <charset val="129"/>
      <scheme val="minor"/>
    </font>
    <font>
      <sz val="9"/>
      <color theme="1"/>
      <name val="Symbol"/>
      <family val="1"/>
      <charset val="2"/>
    </font>
    <font>
      <vertAlign val="subscript"/>
      <sz val="9"/>
      <color theme="1"/>
      <name val="Arial"/>
      <family val="2"/>
    </font>
    <font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9"/>
      <color theme="1"/>
      <name val="Arial"/>
      <family val="2"/>
    </font>
    <font>
      <vertAlign val="superscript"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1"/>
      <charset val="2"/>
      <scheme val="minor"/>
    </font>
    <font>
      <sz val="8"/>
      <color rgb="FF000000"/>
      <name val="맑은 고딕"/>
      <family val="3"/>
      <charset val="129"/>
    </font>
    <font>
      <sz val="8"/>
      <color theme="1"/>
      <name val="맑은 고딕"/>
      <family val="1"/>
      <charset val="2"/>
    </font>
    <font>
      <sz val="8"/>
      <color theme="1"/>
      <name val="Symbol"/>
      <family val="1"/>
      <charset val="2"/>
    </font>
    <font>
      <sz val="8"/>
      <name val="Symbol"/>
      <family val="1"/>
      <charset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2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2" fillId="0" borderId="1" xfId="0" applyFont="1" applyBorder="1" applyAlignment="1">
      <alignment horizontal="center" vertical="center"/>
    </xf>
    <xf numFmtId="0" fontId="6" fillId="0" borderId="0" xfId="0" applyFont="1">
      <alignment vertical="center"/>
    </xf>
    <xf numFmtId="0" fontId="0" fillId="0" borderId="1" xfId="0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3" fillId="0" borderId="1" xfId="0" quotePrefix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176" fontId="16" fillId="2" borderId="1" xfId="0" applyNumberFormat="1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>
      <alignment vertical="center"/>
    </xf>
    <xf numFmtId="1" fontId="0" fillId="0" borderId="1" xfId="0" applyNumberFormat="1" applyBorder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11" fillId="3" borderId="0" xfId="0" applyFont="1" applyFill="1">
      <alignment vertical="center"/>
    </xf>
    <xf numFmtId="2" fontId="0" fillId="0" borderId="0" xfId="0" applyNumberFormat="1">
      <alignment vertical="center"/>
    </xf>
    <xf numFmtId="0" fontId="22" fillId="5" borderId="3" xfId="0" applyFont="1" applyFill="1" applyBorder="1">
      <alignment vertical="center"/>
    </xf>
    <xf numFmtId="0" fontId="11" fillId="3" borderId="0" xfId="0" applyFont="1" applyFill="1" applyAlignment="1">
      <alignment horizontal="center" vertical="center"/>
    </xf>
    <xf numFmtId="0" fontId="22" fillId="5" borderId="2" xfId="0" applyFont="1" applyFill="1" applyBorder="1" applyAlignment="1">
      <alignment horizontal="center" vertical="center"/>
    </xf>
    <xf numFmtId="0" fontId="23" fillId="5" borderId="3" xfId="0" applyFont="1" applyFill="1" applyBorder="1">
      <alignment vertical="center"/>
    </xf>
    <xf numFmtId="0" fontId="23" fillId="5" borderId="4" xfId="0" applyFont="1" applyFill="1" applyBorder="1">
      <alignment vertical="center"/>
    </xf>
    <xf numFmtId="0" fontId="23" fillId="5" borderId="8" xfId="0" applyFont="1" applyFill="1" applyBorder="1" applyAlignment="1">
      <alignment horizontal="center" vertical="center"/>
    </xf>
    <xf numFmtId="0" fontId="23" fillId="5" borderId="9" xfId="0" applyFont="1" applyFill="1" applyBorder="1" applyAlignment="1">
      <alignment horizontal="center" vertical="center"/>
    </xf>
    <xf numFmtId="0" fontId="23" fillId="5" borderId="6" xfId="0" applyFont="1" applyFill="1" applyBorder="1" applyAlignment="1">
      <alignment horizontal="center" vertical="center"/>
    </xf>
    <xf numFmtId="1" fontId="23" fillId="5" borderId="6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9" fillId="3" borderId="0" xfId="0" applyFont="1" applyFill="1">
      <alignment vertical="center"/>
    </xf>
    <xf numFmtId="0" fontId="22" fillId="3" borderId="0" xfId="0" applyFont="1" applyFill="1">
      <alignment vertical="center"/>
    </xf>
    <xf numFmtId="0" fontId="22" fillId="3" borderId="0" xfId="0" applyFont="1" applyFill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176" fontId="19" fillId="3" borderId="0" xfId="0" applyNumberFormat="1" applyFont="1" applyFill="1" applyAlignment="1">
      <alignment horizontal="center" vertical="center"/>
    </xf>
    <xf numFmtId="1" fontId="19" fillId="3" borderId="0" xfId="0" applyNumberFormat="1" applyFont="1" applyFill="1" applyAlignment="1">
      <alignment horizontal="center" vertical="center"/>
    </xf>
    <xf numFmtId="0" fontId="27" fillId="3" borderId="0" xfId="0" applyFont="1" applyFill="1">
      <alignment vertical="center"/>
    </xf>
    <xf numFmtId="176" fontId="22" fillId="3" borderId="0" xfId="0" applyNumberFormat="1" applyFont="1" applyFill="1" applyAlignment="1">
      <alignment horizontal="center" vertical="center"/>
    </xf>
    <xf numFmtId="176" fontId="22" fillId="3" borderId="0" xfId="0" applyNumberFormat="1" applyFont="1" applyFill="1">
      <alignment vertical="center"/>
    </xf>
    <xf numFmtId="0" fontId="19" fillId="4" borderId="1" xfId="0" applyFont="1" applyFill="1" applyBorder="1" applyAlignment="1">
      <alignment horizontal="center" vertical="center"/>
    </xf>
    <xf numFmtId="0" fontId="19" fillId="5" borderId="0" xfId="0" applyFont="1" applyFill="1">
      <alignment vertical="center"/>
    </xf>
    <xf numFmtId="177" fontId="22" fillId="5" borderId="0" xfId="0" applyNumberFormat="1" applyFont="1" applyFill="1">
      <alignment vertical="center"/>
    </xf>
    <xf numFmtId="0" fontId="22" fillId="5" borderId="0" xfId="0" applyFont="1" applyFill="1">
      <alignment vertical="center"/>
    </xf>
    <xf numFmtId="0" fontId="22" fillId="5" borderId="0" xfId="0" applyFont="1" applyFill="1" applyAlignment="1">
      <alignment horizontal="center" vertical="center"/>
    </xf>
    <xf numFmtId="0" fontId="23" fillId="5" borderId="0" xfId="0" applyFont="1" applyFill="1">
      <alignment vertical="center"/>
    </xf>
    <xf numFmtId="0" fontId="23" fillId="5" borderId="0" xfId="0" applyFont="1" applyFill="1" applyAlignment="1">
      <alignment horizontal="center" vertical="center"/>
    </xf>
    <xf numFmtId="0" fontId="23" fillId="5" borderId="0" xfId="0" applyFont="1" applyFill="1" applyAlignment="1">
      <alignment horizontal="center" vertical="center" wrapText="1"/>
    </xf>
    <xf numFmtId="0" fontId="24" fillId="5" borderId="0" xfId="0" applyFont="1" applyFill="1" applyAlignment="1">
      <alignment horizontal="center" vertical="center"/>
    </xf>
    <xf numFmtId="1" fontId="23" fillId="5" borderId="0" xfId="0" applyNumberFormat="1" applyFont="1" applyFill="1" applyAlignment="1">
      <alignment horizontal="center" vertical="center"/>
    </xf>
    <xf numFmtId="177" fontId="23" fillId="5" borderId="0" xfId="0" applyNumberFormat="1" applyFont="1" applyFill="1" applyAlignment="1">
      <alignment horizontal="center" vertical="center"/>
    </xf>
    <xf numFmtId="176" fontId="23" fillId="5" borderId="0" xfId="0" applyNumberFormat="1" applyFont="1" applyFill="1" applyAlignment="1">
      <alignment horizontal="center" vertical="center"/>
    </xf>
    <xf numFmtId="176" fontId="23" fillId="5" borderId="9" xfId="0" applyNumberFormat="1" applyFont="1" applyFill="1" applyBorder="1" applyAlignment="1">
      <alignment horizontal="center" vertical="center"/>
    </xf>
    <xf numFmtId="0" fontId="22" fillId="5" borderId="8" xfId="0" applyFont="1" applyFill="1" applyBorder="1" applyAlignment="1">
      <alignment horizontal="center" vertical="center"/>
    </xf>
    <xf numFmtId="0" fontId="23" fillId="5" borderId="9" xfId="0" applyFont="1" applyFill="1" applyBorder="1">
      <alignment vertical="center"/>
    </xf>
    <xf numFmtId="0" fontId="23" fillId="5" borderId="6" xfId="0" applyFont="1" applyFill="1" applyBorder="1" applyAlignment="1">
      <alignment horizontal="center" vertical="center" wrapText="1"/>
    </xf>
    <xf numFmtId="0" fontId="24" fillId="5" borderId="6" xfId="0" applyFont="1" applyFill="1" applyBorder="1" applyAlignment="1">
      <alignment horizontal="center" vertical="center"/>
    </xf>
    <xf numFmtId="0" fontId="23" fillId="5" borderId="7" xfId="0" applyFont="1" applyFill="1" applyBorder="1" applyAlignment="1">
      <alignment horizontal="center" vertical="center"/>
    </xf>
    <xf numFmtId="1" fontId="23" fillId="5" borderId="5" xfId="0" applyNumberFormat="1" applyFont="1" applyFill="1" applyBorder="1" applyAlignment="1">
      <alignment horizontal="center" vertical="center"/>
    </xf>
    <xf numFmtId="0" fontId="19" fillId="4" borderId="0" xfId="0" applyFont="1" applyFill="1">
      <alignment vertical="center"/>
    </xf>
    <xf numFmtId="0" fontId="0" fillId="5" borderId="0" xfId="0" applyFill="1">
      <alignment vertical="center"/>
    </xf>
    <xf numFmtId="0" fontId="22" fillId="5" borderId="9" xfId="0" applyFont="1" applyFill="1" applyBorder="1" applyAlignment="1">
      <alignment horizontal="center" vertical="center"/>
    </xf>
    <xf numFmtId="1" fontId="22" fillId="5" borderId="6" xfId="0" applyNumberFormat="1" applyFont="1" applyFill="1" applyBorder="1" applyAlignment="1">
      <alignment horizontal="center" vertical="center"/>
    </xf>
    <xf numFmtId="0" fontId="22" fillId="5" borderId="3" xfId="0" applyFont="1" applyFill="1" applyBorder="1" applyAlignment="1">
      <alignment horizontal="center" vertical="center"/>
    </xf>
    <xf numFmtId="0" fontId="22" fillId="5" borderId="4" xfId="0" applyFont="1" applyFill="1" applyBorder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2" fontId="22" fillId="5" borderId="6" xfId="0" applyNumberFormat="1" applyFont="1" applyFill="1" applyBorder="1" applyAlignment="1">
      <alignment horizontal="center" vertical="center"/>
    </xf>
    <xf numFmtId="2" fontId="22" fillId="5" borderId="7" xfId="0" applyNumberFormat="1" applyFont="1" applyFill="1" applyBorder="1" applyAlignment="1">
      <alignment horizontal="center" vertical="center"/>
    </xf>
    <xf numFmtId="1" fontId="22" fillId="5" borderId="5" xfId="0" applyNumberFormat="1" applyFont="1" applyFill="1" applyBorder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0" fontId="22" fillId="5" borderId="3" xfId="0" applyFont="1" applyFill="1" applyBorder="1" applyAlignment="1">
      <alignment horizontal="left" vertical="center"/>
    </xf>
    <xf numFmtId="176" fontId="19" fillId="5" borderId="0" xfId="0" applyNumberFormat="1" applyFont="1" applyFill="1">
      <alignment vertical="center"/>
    </xf>
    <xf numFmtId="0" fontId="11" fillId="5" borderId="0" xfId="0" applyFont="1" applyFill="1">
      <alignment vertical="center"/>
    </xf>
    <xf numFmtId="0" fontId="19" fillId="5" borderId="0" xfId="0" applyFont="1" applyFill="1" applyAlignment="1">
      <alignment horizontal="center" vertical="center"/>
    </xf>
    <xf numFmtId="0" fontId="23" fillId="5" borderId="2" xfId="0" applyFont="1" applyFill="1" applyBorder="1" applyAlignment="1">
      <alignment horizontal="center" vertical="center"/>
    </xf>
    <xf numFmtId="0" fontId="23" fillId="5" borderId="3" xfId="0" applyFont="1" applyFill="1" applyBorder="1" applyAlignment="1">
      <alignment horizontal="left" vertical="center"/>
    </xf>
    <xf numFmtId="0" fontId="23" fillId="5" borderId="3" xfId="0" applyFont="1" applyFill="1" applyBorder="1" applyAlignment="1">
      <alignment horizontal="center" vertical="center"/>
    </xf>
    <xf numFmtId="0" fontId="23" fillId="5" borderId="4" xfId="0" applyFont="1" applyFill="1" applyBorder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3" fillId="5" borderId="5" xfId="0" applyFont="1" applyFill="1" applyBorder="1" applyAlignment="1">
      <alignment horizontal="center" vertical="center"/>
    </xf>
    <xf numFmtId="1" fontId="23" fillId="5" borderId="7" xfId="0" applyNumberFormat="1" applyFont="1" applyFill="1" applyBorder="1" applyAlignment="1">
      <alignment horizontal="center" vertical="center"/>
    </xf>
    <xf numFmtId="177" fontId="23" fillId="5" borderId="6" xfId="0" applyNumberFormat="1" applyFont="1" applyFill="1" applyBorder="1" applyAlignment="1">
      <alignment horizontal="center" vertical="center"/>
    </xf>
    <xf numFmtId="176" fontId="23" fillId="5" borderId="6" xfId="0" applyNumberFormat="1" applyFont="1" applyFill="1" applyBorder="1" applyAlignment="1">
      <alignment horizontal="center" vertical="center"/>
    </xf>
    <xf numFmtId="176" fontId="23" fillId="5" borderId="7" xfId="0" applyNumberFormat="1" applyFont="1" applyFill="1" applyBorder="1" applyAlignment="1">
      <alignment horizontal="center" vertical="center"/>
    </xf>
    <xf numFmtId="0" fontId="23" fillId="3" borderId="0" xfId="0" applyFont="1" applyFill="1" applyAlignment="1">
      <alignment horizontal="right" vertical="center"/>
    </xf>
    <xf numFmtId="177" fontId="23" fillId="5" borderId="0" xfId="0" applyNumberFormat="1" applyFont="1" applyFill="1">
      <alignment vertical="center"/>
    </xf>
    <xf numFmtId="0" fontId="23" fillId="3" borderId="0" xfId="0" applyFont="1" applyFill="1" applyAlignment="1">
      <alignment horizontal="center" vertical="center"/>
    </xf>
    <xf numFmtId="176" fontId="23" fillId="3" borderId="0" xfId="0" applyNumberFormat="1" applyFont="1" applyFill="1" applyAlignment="1">
      <alignment horizontal="right" vertical="center"/>
    </xf>
    <xf numFmtId="0" fontId="23" fillId="3" borderId="8" xfId="0" applyFont="1" applyFill="1" applyBorder="1" applyAlignment="1">
      <alignment horizontal="center" vertical="center"/>
    </xf>
    <xf numFmtId="0" fontId="23" fillId="3" borderId="0" xfId="0" applyFont="1" applyFill="1" applyAlignment="1">
      <alignment horizontal="left" vertical="center"/>
    </xf>
    <xf numFmtId="0" fontId="23" fillId="3" borderId="0" xfId="0" applyFont="1" applyFill="1">
      <alignment vertical="center"/>
    </xf>
    <xf numFmtId="0" fontId="23" fillId="3" borderId="9" xfId="0" applyFont="1" applyFill="1" applyBorder="1" applyAlignment="1">
      <alignment horizontal="center" vertical="center"/>
    </xf>
    <xf numFmtId="0" fontId="29" fillId="3" borderId="0" xfId="0" applyFont="1" applyFill="1" applyAlignment="1">
      <alignment horizontal="center" vertical="center"/>
    </xf>
    <xf numFmtId="0" fontId="23" fillId="3" borderId="5" xfId="0" applyFont="1" applyFill="1" applyBorder="1" applyAlignment="1">
      <alignment horizontal="center" vertical="center"/>
    </xf>
    <xf numFmtId="0" fontId="23" fillId="3" borderId="6" xfId="0" applyFont="1" applyFill="1" applyBorder="1" applyAlignment="1">
      <alignment horizontal="center" vertical="center" wrapText="1"/>
    </xf>
    <xf numFmtId="1" fontId="24" fillId="3" borderId="6" xfId="0" applyNumberFormat="1" applyFont="1" applyFill="1" applyBorder="1" applyAlignment="1">
      <alignment horizontal="center" vertical="center"/>
    </xf>
    <xf numFmtId="0" fontId="23" fillId="3" borderId="6" xfId="0" applyFont="1" applyFill="1" applyBorder="1" applyAlignment="1">
      <alignment horizontal="center" vertical="center"/>
    </xf>
    <xf numFmtId="1" fontId="23" fillId="3" borderId="6" xfId="0" applyNumberFormat="1" applyFont="1" applyFill="1" applyBorder="1" applyAlignment="1">
      <alignment horizontal="center" vertical="center"/>
    </xf>
    <xf numFmtId="1" fontId="23" fillId="3" borderId="7" xfId="0" applyNumberFormat="1" applyFont="1" applyFill="1" applyBorder="1" applyAlignment="1">
      <alignment horizontal="center" vertical="center"/>
    </xf>
    <xf numFmtId="0" fontId="23" fillId="5" borderId="0" xfId="0" applyFont="1" applyFill="1" applyAlignment="1">
      <alignment horizontal="left" vertical="center"/>
    </xf>
    <xf numFmtId="1" fontId="24" fillId="5" borderId="6" xfId="0" applyNumberFormat="1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9" fillId="4" borderId="0" xfId="0" applyFont="1" applyFill="1">
      <alignment vertical="center"/>
    </xf>
    <xf numFmtId="0" fontId="11" fillId="4" borderId="0" xfId="0" applyFont="1" applyFill="1">
      <alignment vertical="center"/>
    </xf>
    <xf numFmtId="0" fontId="29" fillId="5" borderId="0" xfId="0" applyFont="1" applyFill="1" applyBorder="1" applyAlignment="1">
      <alignment horizontal="center" vertical="center"/>
    </xf>
    <xf numFmtId="0" fontId="23" fillId="5" borderId="0" xfId="0" applyFont="1" applyFill="1" applyBorder="1" applyAlignment="1">
      <alignment horizontal="center" vertical="center"/>
    </xf>
    <xf numFmtId="0" fontId="23" fillId="5" borderId="0" xfId="0" applyFont="1" applyFill="1" applyBorder="1" applyAlignment="1">
      <alignment horizontal="center" vertical="center" wrapText="1"/>
    </xf>
    <xf numFmtId="0" fontId="24" fillId="5" borderId="0" xfId="0" applyFont="1" applyFill="1" applyBorder="1" applyAlignment="1">
      <alignment horizontal="center" vertical="center"/>
    </xf>
    <xf numFmtId="1" fontId="23" fillId="5" borderId="0" xfId="0" applyNumberFormat="1" applyFont="1" applyFill="1" applyBorder="1" applyAlignment="1">
      <alignment horizontal="center" vertical="center"/>
    </xf>
    <xf numFmtId="0" fontId="23" fillId="5" borderId="0" xfId="0" applyFont="1" applyFill="1" applyBorder="1" applyAlignment="1">
      <alignment horizontal="left" vertical="center"/>
    </xf>
    <xf numFmtId="0" fontId="0" fillId="3" borderId="0" xfId="0" applyFill="1" applyBorder="1">
      <alignment vertical="center"/>
    </xf>
    <xf numFmtId="0" fontId="23" fillId="5" borderId="0" xfId="0" applyFont="1" applyFill="1" applyBorder="1">
      <alignment vertical="center"/>
    </xf>
    <xf numFmtId="177" fontId="23" fillId="5" borderId="0" xfId="0" applyNumberFormat="1" applyFont="1" applyFill="1" applyBorder="1" applyAlignment="1">
      <alignment horizontal="center" vertical="center"/>
    </xf>
    <xf numFmtId="176" fontId="23" fillId="5" borderId="0" xfId="0" applyNumberFormat="1" applyFont="1" applyFill="1" applyBorder="1" applyAlignment="1">
      <alignment horizontal="center" vertical="center"/>
    </xf>
    <xf numFmtId="0" fontId="23" fillId="5" borderId="8" xfId="0" applyFont="1" applyFill="1" applyBorder="1" applyAlignment="1">
      <alignment vertical="center"/>
    </xf>
    <xf numFmtId="0" fontId="19" fillId="4" borderId="0" xfId="0" applyFont="1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221769</xdr:colOff>
      <xdr:row>8</xdr:row>
      <xdr:rowOff>104053</xdr:rowOff>
    </xdr:from>
    <xdr:to>
      <xdr:col>3</xdr:col>
      <xdr:colOff>76989</xdr:colOff>
      <xdr:row>11</xdr:row>
      <xdr:rowOff>23626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69" y="1969639"/>
          <a:ext cx="1873206" cy="581725"/>
        </a:xfrm>
        <a:prstGeom prst="rect">
          <a:avLst/>
        </a:prstGeom>
      </xdr:spPr>
    </xdr:pic>
    <xdr:clientData/>
  </xdr:twoCellAnchor>
  <xdr:oneCellAnchor>
    <xdr:from>
      <xdr:col>0</xdr:col>
      <xdr:colOff>49924</xdr:colOff>
      <xdr:row>5</xdr:row>
      <xdr:rowOff>55180</xdr:rowOff>
    </xdr:from>
    <xdr:ext cx="173098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49924" y="1258614"/>
              <a:ext cx="17309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ko-KR" altLang="en-US" sz="1100" i="0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ko-KR" altLang="en-U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𝜌</m:t>
                        </m:r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⋅</m:t>
                        </m:r>
                        <m:sSub>
                          <m:sSubPr>
                            <m:ctrlPr>
                              <a:rPr lang="ko-KR" altLang="en-US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ko-KR" altLang="en-US" sz="110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</m:e>
                          <m:sub>
                            <m: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⋅</m:t>
                        </m:r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h</m:t>
                        </m:r>
                        <m:func>
                          <m:funcPr>
                            <m:ctrlPr>
                              <a:rPr lang="ko-KR" altLang="en-US" sz="110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max</m:t>
                            </m:r>
                          </m:fName>
                          <m:e>
                            <m: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+25</m:t>
                            </m:r>
                          </m:e>
                        </m:func>
                      </m:e>
                    </m:d>
                    <m:r>
                      <a:rPr lang="ko-KR" altLang="en-US" sz="1100" i="1">
                        <a:latin typeface="Cambria Math" panose="02040503050406030204" pitchFamily="18" charset="0"/>
                      </a:rPr>
                      <m:t>∙</m:t>
                    </m:r>
                    <m:r>
                      <m:rPr>
                        <m:sty m:val="p"/>
                      </m:rPr>
                      <a:rPr lang="el-GR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γ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6B2EB8DF-E837-92D1-C7EA-397107E29C67}"/>
                </a:ext>
              </a:extLst>
            </xdr:cNvPr>
            <xdr:cNvSpPr txBox="1"/>
          </xdr:nvSpPr>
          <xdr:spPr>
            <a:xfrm>
              <a:off x="49924" y="1258614"/>
              <a:ext cx="17309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ko-KR" altLang="en-US" sz="1100" i="0">
                  <a:latin typeface="Cambria Math" panose="02040503050406030204" pitchFamily="18" charset="0"/>
                </a:rPr>
                <a:t>𝑃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𝑑=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ko-KR" altLang="en-US" sz="1100" i="0">
                  <a:latin typeface="Cambria Math" panose="02040503050406030204" pitchFamily="18" charset="0"/>
                </a:rPr>
                <a:t>𝜌⋅𝑔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0⋅ℎ max⁡〖+25〗 )∙</a:t>
              </a:r>
              <a:r>
                <a:rPr lang="el-GR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γ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0</xdr:col>
      <xdr:colOff>193471</xdr:colOff>
      <xdr:row>33</xdr:row>
      <xdr:rowOff>63477</xdr:rowOff>
    </xdr:from>
    <xdr:ext cx="1872721" cy="3014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93471" y="7317131"/>
              <a:ext cx="1872721" cy="301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ko-KR" altLang="en-US" sz="1100" i="1">
                          <a:solidFill>
                            <a:srgbClr val="836967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ko-KR" altLang="en-US" sz="1100" i="1">
                          <a:latin typeface="Cambria Math" panose="02040503050406030204" pitchFamily="18" charset="0"/>
                        </a:rPr>
                        <m:t>𝑧</m:t>
                      </m:r>
                    </m:e>
                    <m:sub>
                      <m:r>
                        <a:rPr lang="ko-KR" altLang="en-US" sz="1100" i="1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  <m:r>
                    <a:rPr lang="ko-KR" altLang="en-US" sz="1100" i="0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ko-KR" altLang="en-US" sz="1100" i="1">
                          <a:solidFill>
                            <a:srgbClr val="836967"/>
                          </a:solidFill>
                          <a:latin typeface="Cambria Math" panose="02040503050406030204" pitchFamily="18" charset="0"/>
                        </a:rPr>
                      </m:ctrlPr>
                    </m:fPr>
                    <m:num>
                      <m:sSup>
                        <m:sSupPr>
                          <m:ctrlPr>
                            <a:rPr lang="ko-KR" altLang="en-US" sz="1100" i="1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m:rPr>
                              <m:sty m:val="p"/>
                            </m:rPr>
                            <a:rPr lang="en-US" altLang="ko-KR" sz="1100" b="0" i="0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  <m:t>l</m:t>
                          </m:r>
                        </m:e>
                        <m:sup>
                          <m:r>
                            <a:rPr lang="ko-KR" altLang="en-US" sz="1100" i="0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  <m:r>
                        <a:rPr lang="ko-KR" altLang="en-US" sz="1100" i="1">
                          <a:latin typeface="Cambria Math" panose="02040503050406030204" pitchFamily="18" charset="0"/>
                        </a:rPr>
                        <m:t>∙</m:t>
                      </m:r>
                      <m:r>
                        <a:rPr lang="en-US" altLang="ko-KR" sz="1100" b="0" i="1">
                          <a:latin typeface="Cambria Math" panose="02040503050406030204" pitchFamily="18" charset="0"/>
                        </a:rPr>
                        <m:t>𝑠</m:t>
                      </m:r>
                      <m:r>
                        <a:rPr lang="en-US" altLang="ko-KR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∙</m:t>
                      </m:r>
                      <m:sSub>
                        <m:sSubPr>
                          <m:ctrlP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𝑝</m:t>
                          </m:r>
                        </m:e>
                        <m:sub>
                          <m: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𝑑</m:t>
                          </m:r>
                        </m:sub>
                      </m:sSub>
                    </m:num>
                    <m:den>
                      <m:func>
                        <m:funcPr>
                          <m:ctrlPr>
                            <a:rPr lang="ko-KR" altLang="en-US" sz="1100" i="1">
                              <a:latin typeface="Cambria Math" panose="02040503050406030204" pitchFamily="18" charset="0"/>
                            </a:rPr>
                          </m:ctrlPr>
                        </m:funcPr>
                        <m:fName>
                          <m:r>
                            <m:rPr>
                              <m:sty m:val="p"/>
                            </m:rPr>
                            <a:rPr lang="ko-KR" altLang="en-US" sz="1100" i="0">
                              <a:latin typeface="Cambria Math" panose="02040503050406030204" pitchFamily="18" charset="0"/>
                            </a:rPr>
                            <m:t>k</m:t>
                          </m:r>
                          <m:r>
                            <m:rPr>
                              <m:sty m:val="p"/>
                            </m:rPr>
                            <a:rPr lang="en-US" altLang="ko-KR" sz="1100" b="0" i="0">
                              <a:latin typeface="Cambria Math" panose="02040503050406030204" pitchFamily="18" charset="0"/>
                            </a:rPr>
                            <m:t>m</m:t>
                          </m:r>
                          <m: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∙</m:t>
                          </m:r>
                        </m:fName>
                        <m:e>
                          <m:sSup>
                            <m:sSupPr>
                              <m:ctrlPr>
                                <a:rPr lang="en-US" altLang="ko-KR" sz="1100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sSub>
                                <m:sSubPr>
                                  <m:ctrlPr>
                                    <a:rPr lang="ko-KR" alt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ko-KR" alt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𝜎</m:t>
                                  </m:r>
                                </m:e>
                                <m:sub>
                                  <m:r>
                                    <a:rPr lang="ko-KR" alt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  <m:r>
                                    <a:rPr lang="en-US" altLang="ko-KR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𝑑</m:t>
                                  </m:r>
                                </m:sub>
                              </m:sSub>
                            </m:e>
                            <m:sup>
                              <m:r>
                                <a:rPr lang="en-US" altLang="ko-KR" sz="11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</m:sup>
                          </m:sSup>
                        </m:e>
                      </m:func>
                      <m:r>
                        <a:rPr lang="ko-KR" altLang="en-US" sz="1100" i="0">
                          <a:latin typeface="Cambria Math" panose="02040503050406030204" pitchFamily="18" charset="0"/>
                        </a:rPr>
                        <m:t>⋅</m:t>
                      </m:r>
                      <m:sSub>
                        <m:sSubPr>
                          <m:ctrlPr>
                            <a:rPr lang="ko-KR" altLang="en-US" sz="1100" i="1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ko-KR" altLang="en-US" sz="110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b>
                          <m:r>
                            <a:rPr lang="ko-KR" altLang="en-US" sz="1100" i="1">
                              <a:latin typeface="Cambria Math" panose="02040503050406030204" pitchFamily="18" charset="0"/>
                            </a:rPr>
                            <m:t>𝑝</m:t>
                          </m:r>
                          <m:r>
                            <a:rPr lang="en-US" altLang="ko-KR" sz="1100" b="0" i="1">
                              <a:latin typeface="Cambria Math" panose="02040503050406030204" pitchFamily="18" charset="0"/>
                            </a:rPr>
                            <m:t>𝑠</m:t>
                          </m:r>
                        </m:sub>
                      </m:sSub>
                    </m:den>
                  </m:f>
                  <m:sSup>
                    <m:sSupPr>
                      <m:ctrlPr>
                        <a:rPr lang="en-US" altLang="ko-KR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altLang="ko-K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10</m:t>
                      </m:r>
                    </m:e>
                    <m:sup>
                      <m:r>
                        <a:rPr lang="en-US" altLang="ko-K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6</m:t>
                      </m:r>
                    </m:sup>
                  </m:sSup>
                </m:oMath>
              </a14:m>
              <a:r>
                <a:rPr lang="en-US" altLang="ko-KR" sz="1100"/>
                <a:t>(mm</a:t>
              </a:r>
              <a:r>
                <a:rPr lang="en-US" altLang="ko-KR" sz="1100" baseline="30000"/>
                <a:t>3</a:t>
              </a:r>
              <a:r>
                <a:rPr lang="en-US" altLang="ko-KR" sz="1100"/>
                <a:t>)</a:t>
              </a:r>
              <a:endParaRPr lang="ko-KR" alt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9B3F0385-8A26-1A9C-5F37-8236613155F9}"/>
                </a:ext>
              </a:extLst>
            </xdr:cNvPr>
            <xdr:cNvSpPr txBox="1"/>
          </xdr:nvSpPr>
          <xdr:spPr>
            <a:xfrm>
              <a:off x="193471" y="7317131"/>
              <a:ext cx="1872721" cy="301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ko-KR" altLang="en-US" sz="1100" i="0">
                  <a:latin typeface="Cambria Math" panose="02040503050406030204" pitchFamily="18" charset="0"/>
                </a:rPr>
                <a:t>𝑧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𝑠=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l</a:t>
              </a:r>
              <a:r>
                <a:rPr lang="ko-KR" altLang="en-US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ko-KR" altLang="en-US" sz="1100" i="0">
                  <a:latin typeface="Cambria Math" panose="02040503050406030204" pitchFamily="18" charset="0"/>
                </a:rPr>
                <a:t>2∙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𝑠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∙𝑝_𝑑</a:t>
              </a:r>
              <a:r>
                <a:rPr lang="ko-KR" altLang="en-US" sz="11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)/(〖</a:t>
              </a:r>
              <a:r>
                <a:rPr lang="ko-KR" altLang="en-US" sz="1100" i="0">
                  <a:latin typeface="Cambria Math" panose="02040503050406030204" pitchFamily="18" charset="0"/>
                </a:rPr>
                <a:t>k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m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ko-KR" alt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〗⁡〖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ko-KR" alt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𝜎_𝑃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𝑑〗^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2 </a:t>
              </a:r>
              <a:r>
                <a:rPr lang="ko-KR" altLang="en-US" sz="1100" b="0" i="0">
                  <a:latin typeface="Cambria Math" panose="02040503050406030204" pitchFamily="18" charset="0"/>
                </a:rPr>
                <a:t>〗</a:t>
              </a:r>
              <a:r>
                <a:rPr lang="ko-KR" altLang="en-US" sz="1100" i="0">
                  <a:latin typeface="Cambria Math" panose="02040503050406030204" pitchFamily="18" charset="0"/>
                </a:rPr>
                <a:t>⋅𝑘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𝑝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𝑠 </a:t>
              </a:r>
              <a:r>
                <a:rPr lang="ko-KR" altLang="en-US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10^6</a:t>
              </a:r>
              <a:r>
                <a:rPr lang="en-US" altLang="ko-KR" sz="1100"/>
                <a:t>(mm</a:t>
              </a:r>
              <a:r>
                <a:rPr lang="en-US" altLang="ko-KR" sz="1100" baseline="30000"/>
                <a:t>3</a:t>
              </a:r>
              <a:r>
                <a:rPr lang="en-US" altLang="ko-KR" sz="1100"/>
                <a:t>)</a:t>
              </a:r>
              <a:endParaRPr lang="ko-KR" altLang="en-US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137746</xdr:colOff>
      <xdr:row>11</xdr:row>
      <xdr:rowOff>76200</xdr:rowOff>
    </xdr:from>
    <xdr:to>
      <xdr:col>10</xdr:col>
      <xdr:colOff>196362</xdr:colOff>
      <xdr:row>14</xdr:row>
      <xdr:rowOff>80804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66392" y="1752600"/>
          <a:ext cx="1570893" cy="461804"/>
        </a:xfrm>
        <a:prstGeom prst="rect">
          <a:avLst/>
        </a:prstGeom>
      </xdr:spPr>
    </xdr:pic>
    <xdr:clientData/>
  </xdr:twoCellAnchor>
  <xdr:oneCellAnchor>
    <xdr:from>
      <xdr:col>7</xdr:col>
      <xdr:colOff>43961</xdr:colOff>
      <xdr:row>8</xdr:row>
      <xdr:rowOff>135504</xdr:rowOff>
    </xdr:from>
    <xdr:ext cx="173098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3582865" y="1366427"/>
              <a:ext cx="17309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ko-KR" altLang="en-US" sz="1100" i="0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ko-KR" altLang="en-U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𝜌</m:t>
                        </m:r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⋅</m:t>
                        </m:r>
                        <m:sSub>
                          <m:sSubPr>
                            <m:ctrlPr>
                              <a:rPr lang="ko-KR" altLang="en-US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ko-KR" altLang="en-US" sz="110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</m:e>
                          <m:sub>
                            <m: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⋅</m:t>
                        </m:r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h</m:t>
                        </m:r>
                        <m:func>
                          <m:funcPr>
                            <m:ctrlPr>
                              <a:rPr lang="ko-KR" altLang="en-US" sz="110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max</m:t>
                            </m:r>
                          </m:fName>
                          <m:e>
                            <m: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+25</m:t>
                            </m:r>
                          </m:e>
                        </m:func>
                      </m:e>
                    </m:d>
                    <m:r>
                      <a:rPr lang="ko-KR" altLang="en-US" sz="1100" i="1">
                        <a:latin typeface="Cambria Math" panose="02040503050406030204" pitchFamily="18" charset="0"/>
                      </a:rPr>
                      <m:t>∙</m:t>
                    </m:r>
                    <m:r>
                      <m:rPr>
                        <m:sty m:val="p"/>
                      </m:rPr>
                      <a:rPr lang="el-GR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γ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A41CAE7-AB34-4BA8-AD01-0E6BC42C0060}"/>
                </a:ext>
              </a:extLst>
            </xdr:cNvPr>
            <xdr:cNvSpPr txBox="1"/>
          </xdr:nvSpPr>
          <xdr:spPr>
            <a:xfrm>
              <a:off x="3582865" y="1366427"/>
              <a:ext cx="17309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100" i="0">
                  <a:latin typeface="Cambria Math" panose="02040503050406030204" pitchFamily="18" charset="0"/>
                </a:rPr>
                <a:t>𝑃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𝑑=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ko-KR" altLang="en-US" sz="1100" i="0">
                  <a:latin typeface="Cambria Math" panose="02040503050406030204" pitchFamily="18" charset="0"/>
                </a:rPr>
                <a:t>𝜌⋅𝑔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0⋅ℎ max⁡〖+25〗 )∙</a:t>
              </a:r>
              <a:r>
                <a:rPr lang="el-GR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γ</a:t>
              </a:r>
              <a:endParaRPr lang="ko-KR" altLang="en-US" sz="1100"/>
            </a:p>
          </xdr:txBody>
        </xdr:sp>
      </mc:Fallback>
    </mc:AlternateContent>
    <xdr:clientData/>
  </xdr:oneCellAnchor>
  <xdr:twoCellAnchor>
    <xdr:from>
      <xdr:col>0</xdr:col>
      <xdr:colOff>0</xdr:colOff>
      <xdr:row>0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0" y="0"/>
          <a:ext cx="2022231" cy="769327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505557</xdr:colOff>
      <xdr:row>0</xdr:row>
      <xdr:rowOff>1</xdr:rowOff>
    </xdr:from>
    <xdr:to>
      <xdr:col>11</xdr:col>
      <xdr:colOff>505556</xdr:colOff>
      <xdr:row>3</xdr:row>
      <xdr:rowOff>0</xdr:rowOff>
    </xdr:to>
    <xdr:sp macro="" textlink="Front!E1">
      <xdr:nvSpPr>
        <xdr:cNvPr id="7" name="직사각형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022230" y="1"/>
          <a:ext cx="4044461" cy="461595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310298</xdr:colOff>
      <xdr:row>5</xdr:row>
      <xdr:rowOff>109515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1826971" cy="878842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</xdr:row>
      <xdr:rowOff>1</xdr:rowOff>
    </xdr:from>
    <xdr:to>
      <xdr:col>12</xdr:col>
      <xdr:colOff>0</xdr:colOff>
      <xdr:row>5</xdr:row>
      <xdr:rowOff>0</xdr:rowOff>
    </xdr:to>
    <xdr:sp macro="" textlink="">
      <xdr:nvSpPr>
        <xdr:cNvPr id="10" name="직사각형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022231" y="461597"/>
          <a:ext cx="4044461" cy="30773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8</xdr:col>
          <xdr:colOff>0</xdr:colOff>
          <xdr:row>21</xdr:row>
          <xdr:rowOff>144780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21</xdr:row>
          <xdr:rowOff>0</xdr:rowOff>
        </xdr:from>
        <xdr:to>
          <xdr:col>11</xdr:col>
          <xdr:colOff>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502920</xdr:colOff>
          <xdr:row>21</xdr:row>
          <xdr:rowOff>0</xdr:rowOff>
        </xdr:from>
        <xdr:to>
          <xdr:col>12</xdr:col>
          <xdr:colOff>0</xdr:colOff>
          <xdr:row>22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13481</xdr:colOff>
      <xdr:row>9</xdr:row>
      <xdr:rowOff>91961</xdr:rowOff>
    </xdr:from>
    <xdr:ext cx="173098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3549161" y="1311161"/>
              <a:ext cx="17309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ko-KR" altLang="en-US" sz="1100" i="0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ko-KR" altLang="en-U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𝜌</m:t>
                        </m:r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⋅</m:t>
                        </m:r>
                        <m:sSub>
                          <m:sSubPr>
                            <m:ctrlPr>
                              <a:rPr lang="ko-KR" altLang="en-US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ko-KR" altLang="en-US" sz="110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</m:e>
                          <m:sub>
                            <m: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⋅</m:t>
                        </m:r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h</m:t>
                        </m:r>
                        <m:func>
                          <m:funcPr>
                            <m:ctrlPr>
                              <a:rPr lang="ko-KR" altLang="en-US" sz="110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max</m:t>
                            </m:r>
                          </m:fName>
                          <m:e>
                            <m: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+25</m:t>
                            </m:r>
                          </m:e>
                        </m:func>
                      </m:e>
                    </m:d>
                    <m:r>
                      <a:rPr lang="ko-KR" altLang="en-US" sz="1100" i="1">
                        <a:latin typeface="Cambria Math" panose="02040503050406030204" pitchFamily="18" charset="0"/>
                      </a:rPr>
                      <m:t>∙</m:t>
                    </m:r>
                    <m:r>
                      <m:rPr>
                        <m:sty m:val="p"/>
                      </m:rPr>
                      <a:rPr lang="el-GR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γ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3549161" y="1311161"/>
              <a:ext cx="17309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100" i="0">
                  <a:latin typeface="Cambria Math" panose="02040503050406030204" pitchFamily="18" charset="0"/>
                </a:rPr>
                <a:t>𝑃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𝑑=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ko-KR" altLang="en-US" sz="1100" i="0">
                  <a:latin typeface="Cambria Math" panose="02040503050406030204" pitchFamily="18" charset="0"/>
                </a:rPr>
                <a:t>𝜌⋅𝑔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0⋅ℎ max⁡〖+25〗 )∙</a:t>
              </a:r>
              <a:r>
                <a:rPr lang="el-GR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γ</a:t>
              </a:r>
              <a:endParaRPr lang="ko-KR" altLang="en-US" sz="1100"/>
            </a:p>
          </xdr:txBody>
        </xdr:sp>
      </mc:Fallback>
    </mc:AlternateContent>
    <xdr:clientData/>
  </xdr:oneCellAnchor>
  <xdr:twoCellAnchor>
    <xdr:from>
      <xdr:col>0</xdr:col>
      <xdr:colOff>0</xdr:colOff>
      <xdr:row>0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0" y="0"/>
          <a:ext cx="20193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505557</xdr:colOff>
      <xdr:row>0</xdr:row>
      <xdr:rowOff>1</xdr:rowOff>
    </xdr:from>
    <xdr:to>
      <xdr:col>11</xdr:col>
      <xdr:colOff>505556</xdr:colOff>
      <xdr:row>3</xdr:row>
      <xdr:rowOff>0</xdr:rowOff>
    </xdr:to>
    <xdr:sp macro="" textlink="Front!E1">
      <xdr:nvSpPr>
        <xdr:cNvPr id="5" name="직사각형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020032" y="1"/>
          <a:ext cx="40385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310298</xdr:colOff>
      <xdr:row>5</xdr:row>
      <xdr:rowOff>109515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24773" cy="87151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</xdr:row>
      <xdr:rowOff>1</xdr:rowOff>
    </xdr:from>
    <xdr:to>
      <xdr:col>12</xdr:col>
      <xdr:colOff>0</xdr:colOff>
      <xdr:row>5</xdr:row>
      <xdr:rowOff>0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019300" y="457201"/>
          <a:ext cx="403860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8</xdr:col>
          <xdr:colOff>0</xdr:colOff>
          <xdr:row>21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21</xdr:row>
          <xdr:rowOff>0</xdr:rowOff>
        </xdr:from>
        <xdr:to>
          <xdr:col>11</xdr:col>
          <xdr:colOff>0</xdr:colOff>
          <xdr:row>22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502920</xdr:colOff>
          <xdr:row>21</xdr:row>
          <xdr:rowOff>0</xdr:rowOff>
        </xdr:from>
        <xdr:to>
          <xdr:col>12</xdr:col>
          <xdr:colOff>0</xdr:colOff>
          <xdr:row>22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95250</xdr:colOff>
      <xdr:row>12</xdr:row>
      <xdr:rowOff>29308</xdr:rowOff>
    </xdr:from>
    <xdr:ext cx="1872721" cy="3014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SpPr txBox="1"/>
          </xdr:nvSpPr>
          <xdr:spPr>
            <a:xfrm>
              <a:off x="3634154" y="1721827"/>
              <a:ext cx="1872721" cy="301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ko-KR" altLang="en-US" sz="1100" i="1">
                          <a:solidFill>
                            <a:srgbClr val="836967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ko-KR" altLang="en-US" sz="1100" i="1">
                          <a:latin typeface="Cambria Math" panose="02040503050406030204" pitchFamily="18" charset="0"/>
                        </a:rPr>
                        <m:t>𝑧</m:t>
                      </m:r>
                    </m:e>
                    <m:sub>
                      <m:r>
                        <a:rPr lang="ko-KR" altLang="en-US" sz="1100" i="1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  <m:r>
                    <a:rPr lang="ko-KR" altLang="en-US" sz="1100" i="0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ko-KR" altLang="en-US" sz="1100" i="1">
                          <a:solidFill>
                            <a:srgbClr val="836967"/>
                          </a:solidFill>
                          <a:latin typeface="Cambria Math" panose="02040503050406030204" pitchFamily="18" charset="0"/>
                        </a:rPr>
                      </m:ctrlPr>
                    </m:fPr>
                    <m:num>
                      <m:sSup>
                        <m:sSupPr>
                          <m:ctrlPr>
                            <a:rPr lang="ko-KR" altLang="en-US" sz="1100" i="1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m:rPr>
                              <m:sty m:val="p"/>
                            </m:rPr>
                            <a:rPr lang="en-US" altLang="ko-KR" sz="1100" b="0" i="0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  <m:t>l</m:t>
                          </m:r>
                        </m:e>
                        <m:sup>
                          <m:r>
                            <a:rPr lang="ko-KR" altLang="en-US" sz="1100" i="0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  <m:r>
                        <a:rPr lang="ko-KR" altLang="en-US" sz="1100" i="1">
                          <a:latin typeface="Cambria Math" panose="02040503050406030204" pitchFamily="18" charset="0"/>
                        </a:rPr>
                        <m:t>∙</m:t>
                      </m:r>
                      <m:r>
                        <a:rPr lang="en-US" altLang="ko-KR" sz="1100" b="0" i="1">
                          <a:latin typeface="Cambria Math" panose="02040503050406030204" pitchFamily="18" charset="0"/>
                        </a:rPr>
                        <m:t>𝑠</m:t>
                      </m:r>
                      <m:r>
                        <a:rPr lang="en-US" altLang="ko-KR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∙</m:t>
                      </m:r>
                      <m:sSub>
                        <m:sSubPr>
                          <m:ctrlP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𝑝</m:t>
                          </m:r>
                        </m:e>
                        <m:sub>
                          <m: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𝑑</m:t>
                          </m:r>
                        </m:sub>
                      </m:sSub>
                    </m:num>
                    <m:den>
                      <m:func>
                        <m:funcPr>
                          <m:ctrlPr>
                            <a:rPr lang="ko-KR" altLang="en-US" sz="1100" i="1">
                              <a:latin typeface="Cambria Math" panose="02040503050406030204" pitchFamily="18" charset="0"/>
                            </a:rPr>
                          </m:ctrlPr>
                        </m:funcPr>
                        <m:fName>
                          <m:r>
                            <m:rPr>
                              <m:sty m:val="p"/>
                            </m:rPr>
                            <a:rPr lang="ko-KR" altLang="en-US" sz="1100" i="0">
                              <a:latin typeface="Cambria Math" panose="02040503050406030204" pitchFamily="18" charset="0"/>
                            </a:rPr>
                            <m:t>k</m:t>
                          </m:r>
                          <m:r>
                            <m:rPr>
                              <m:sty m:val="p"/>
                            </m:rPr>
                            <a:rPr lang="en-US" altLang="ko-KR" sz="1100" b="0" i="0">
                              <a:latin typeface="Cambria Math" panose="02040503050406030204" pitchFamily="18" charset="0"/>
                            </a:rPr>
                            <m:t>m</m:t>
                          </m:r>
                          <m: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∙</m:t>
                          </m:r>
                        </m:fName>
                        <m:e>
                          <m:sSup>
                            <m:sSupPr>
                              <m:ctrlPr>
                                <a:rPr lang="en-US" altLang="ko-KR" sz="1100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sSub>
                                <m:sSubPr>
                                  <m:ctrlPr>
                                    <a:rPr lang="ko-KR" alt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ko-KR" alt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𝜎</m:t>
                                  </m:r>
                                </m:e>
                                <m:sub>
                                  <m:r>
                                    <a:rPr lang="ko-KR" alt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  <m:r>
                                    <a:rPr lang="en-US" altLang="ko-KR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𝑑</m:t>
                                  </m:r>
                                </m:sub>
                              </m:sSub>
                            </m:e>
                            <m:sup>
                              <m:r>
                                <a:rPr lang="en-US" altLang="ko-KR" sz="11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</m:sup>
                          </m:sSup>
                        </m:e>
                      </m:func>
                      <m:r>
                        <a:rPr lang="ko-KR" altLang="en-US" sz="1100" i="0">
                          <a:latin typeface="Cambria Math" panose="02040503050406030204" pitchFamily="18" charset="0"/>
                        </a:rPr>
                        <m:t>⋅</m:t>
                      </m:r>
                      <m:sSub>
                        <m:sSubPr>
                          <m:ctrlPr>
                            <a:rPr lang="ko-KR" altLang="en-US" sz="1100" i="1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ko-KR" altLang="en-US" sz="110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b>
                          <m:r>
                            <a:rPr lang="ko-KR" altLang="en-US" sz="1100" i="1">
                              <a:latin typeface="Cambria Math" panose="02040503050406030204" pitchFamily="18" charset="0"/>
                            </a:rPr>
                            <m:t>𝑝</m:t>
                          </m:r>
                          <m:r>
                            <a:rPr lang="en-US" altLang="ko-KR" sz="1100" b="0" i="1">
                              <a:latin typeface="Cambria Math" panose="02040503050406030204" pitchFamily="18" charset="0"/>
                            </a:rPr>
                            <m:t>𝑠</m:t>
                          </m:r>
                        </m:sub>
                      </m:sSub>
                    </m:den>
                  </m:f>
                  <m:sSup>
                    <m:sSupPr>
                      <m:ctrlPr>
                        <a:rPr lang="en-US" altLang="ko-KR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altLang="ko-K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10</m:t>
                      </m:r>
                    </m:e>
                    <m:sup>
                      <m:r>
                        <a:rPr lang="en-US" altLang="ko-K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6</m:t>
                      </m:r>
                    </m:sup>
                  </m:sSup>
                </m:oMath>
              </a14:m>
              <a:r>
                <a:rPr lang="en-US" altLang="ko-KR" sz="1100"/>
                <a:t>(mm</a:t>
              </a:r>
              <a:r>
                <a:rPr lang="en-US" altLang="ko-KR" sz="1100" baseline="30000"/>
                <a:t>3</a:t>
              </a:r>
              <a:r>
                <a:rPr lang="en-US" altLang="ko-KR" sz="1100"/>
                <a:t>)</a:t>
              </a:r>
              <a:endParaRPr lang="ko-KR" altLang="en-US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FB56B0A4-2567-4D12-AB96-26129363F600}"/>
                </a:ext>
              </a:extLst>
            </xdr:cNvPr>
            <xdr:cNvSpPr txBox="1"/>
          </xdr:nvSpPr>
          <xdr:spPr>
            <a:xfrm>
              <a:off x="3634154" y="1721827"/>
              <a:ext cx="1872721" cy="301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ko-KR" altLang="en-US" sz="1100" i="0">
                  <a:latin typeface="Cambria Math" panose="02040503050406030204" pitchFamily="18" charset="0"/>
                </a:rPr>
                <a:t>𝑧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𝑠=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l</a:t>
              </a:r>
              <a:r>
                <a:rPr lang="ko-KR" altLang="en-US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ko-KR" altLang="en-US" sz="1100" i="0">
                  <a:latin typeface="Cambria Math" panose="02040503050406030204" pitchFamily="18" charset="0"/>
                </a:rPr>
                <a:t>2∙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𝑠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∙𝑝_𝑑</a:t>
              </a:r>
              <a:r>
                <a:rPr lang="ko-KR" altLang="en-US" sz="11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)/(〖</a:t>
              </a:r>
              <a:r>
                <a:rPr lang="ko-KR" altLang="en-US" sz="1100" i="0">
                  <a:latin typeface="Cambria Math" panose="02040503050406030204" pitchFamily="18" charset="0"/>
                </a:rPr>
                <a:t>k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m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ko-KR" alt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〗⁡〖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ko-KR" alt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𝜎_𝑃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𝑑〗^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2 </a:t>
              </a:r>
              <a:r>
                <a:rPr lang="ko-KR" altLang="en-US" sz="1100" b="0" i="0">
                  <a:latin typeface="Cambria Math" panose="02040503050406030204" pitchFamily="18" charset="0"/>
                </a:rPr>
                <a:t>〗</a:t>
              </a:r>
              <a:r>
                <a:rPr lang="ko-KR" altLang="en-US" sz="1100" i="0">
                  <a:latin typeface="Cambria Math" panose="02040503050406030204" pitchFamily="18" charset="0"/>
                </a:rPr>
                <a:t>⋅𝑘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𝑝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𝑠 </a:t>
              </a:r>
              <a:r>
                <a:rPr lang="ko-KR" altLang="en-US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10^6</a:t>
              </a:r>
              <a:r>
                <a:rPr lang="en-US" altLang="ko-KR" sz="1100"/>
                <a:t>(mm</a:t>
              </a:r>
              <a:r>
                <a:rPr lang="en-US" altLang="ko-KR" sz="1100" baseline="30000"/>
                <a:t>3</a:t>
              </a:r>
              <a:r>
                <a:rPr lang="en-US" altLang="ko-KR" sz="1100"/>
                <a:t>)</a:t>
              </a:r>
              <a:endParaRPr lang="ko-KR" altLang="en-US" sz="11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43961</xdr:colOff>
      <xdr:row>9</xdr:row>
      <xdr:rowOff>135504</xdr:rowOff>
    </xdr:from>
    <xdr:ext cx="173098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3564401" y="1354704"/>
              <a:ext cx="17309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ko-KR" altLang="en-US" sz="1100" i="0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ko-KR" altLang="en-U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𝜌</m:t>
                        </m:r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⋅</m:t>
                        </m:r>
                        <m:sSub>
                          <m:sSubPr>
                            <m:ctrlPr>
                              <a:rPr lang="ko-KR" altLang="en-US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ko-KR" altLang="en-US" sz="110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</m:e>
                          <m:sub>
                            <m: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⋅</m:t>
                        </m:r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h</m:t>
                        </m:r>
                        <m:func>
                          <m:funcPr>
                            <m:ctrlPr>
                              <a:rPr lang="ko-KR" altLang="en-US" sz="110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max</m:t>
                            </m:r>
                          </m:fName>
                          <m:e>
                            <m: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+25</m:t>
                            </m:r>
                          </m:e>
                        </m:func>
                      </m:e>
                    </m:d>
                    <m:r>
                      <a:rPr lang="ko-KR" altLang="en-US" sz="1100" i="1">
                        <a:latin typeface="Cambria Math" panose="02040503050406030204" pitchFamily="18" charset="0"/>
                      </a:rPr>
                      <m:t>∙</m:t>
                    </m:r>
                    <m:r>
                      <m:rPr>
                        <m:sty m:val="p"/>
                      </m:rPr>
                      <a:rPr lang="el-GR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γ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945092B2-C828-4064-B31B-213415702788}"/>
                </a:ext>
              </a:extLst>
            </xdr:cNvPr>
            <xdr:cNvSpPr txBox="1"/>
          </xdr:nvSpPr>
          <xdr:spPr>
            <a:xfrm>
              <a:off x="3564401" y="1354704"/>
              <a:ext cx="17309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100" i="0">
                  <a:latin typeface="Cambria Math" panose="02040503050406030204" pitchFamily="18" charset="0"/>
                </a:rPr>
                <a:t>𝑃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𝑑=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ko-KR" altLang="en-US" sz="1100" i="0">
                  <a:latin typeface="Cambria Math" panose="02040503050406030204" pitchFamily="18" charset="0"/>
                </a:rPr>
                <a:t>𝜌⋅𝑔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0⋅ℎ max⁡〖+25〗 )∙</a:t>
              </a:r>
              <a:r>
                <a:rPr lang="el-GR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γ</a:t>
              </a:r>
              <a:endParaRPr lang="ko-KR" altLang="en-US" sz="1100"/>
            </a:p>
          </xdr:txBody>
        </xdr:sp>
      </mc:Fallback>
    </mc:AlternateContent>
    <xdr:clientData/>
  </xdr:oneCellAnchor>
  <xdr:twoCellAnchor>
    <xdr:from>
      <xdr:col>0</xdr:col>
      <xdr:colOff>0</xdr:colOff>
      <xdr:row>0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0"/>
          <a:ext cx="201168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505557</xdr:colOff>
      <xdr:row>0</xdr:row>
      <xdr:rowOff>1</xdr:rowOff>
    </xdr:from>
    <xdr:to>
      <xdr:col>11</xdr:col>
      <xdr:colOff>505556</xdr:colOff>
      <xdr:row>3</xdr:row>
      <xdr:rowOff>0</xdr:rowOff>
    </xdr:to>
    <xdr:sp macro="" textlink="[1]Front!E1">
      <xdr:nvSpPr>
        <xdr:cNvPr id="4" name="직사각형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014317" y="1"/>
          <a:ext cx="402335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310298</xdr:colOff>
      <xdr:row>5</xdr:row>
      <xdr:rowOff>109515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19058" cy="87151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</xdr:row>
      <xdr:rowOff>1</xdr:rowOff>
    </xdr:from>
    <xdr:to>
      <xdr:col>12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011680" y="457201"/>
          <a:ext cx="402336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8</xdr:col>
          <xdr:colOff>0</xdr:colOff>
          <xdr:row>22</xdr:row>
          <xdr:rowOff>144780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22</xdr:row>
          <xdr:rowOff>0</xdr:rowOff>
        </xdr:from>
        <xdr:to>
          <xdr:col>11</xdr:col>
          <xdr:colOff>0</xdr:colOff>
          <xdr:row>23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502920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95250</xdr:colOff>
      <xdr:row>12</xdr:row>
      <xdr:rowOff>29308</xdr:rowOff>
    </xdr:from>
    <xdr:ext cx="1872721" cy="3014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3615690" y="1728568"/>
              <a:ext cx="1872721" cy="301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ko-KR" altLang="en-US" sz="1100" i="1">
                          <a:solidFill>
                            <a:srgbClr val="836967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ko-KR" altLang="en-US" sz="1100" i="1">
                          <a:latin typeface="Cambria Math" panose="02040503050406030204" pitchFamily="18" charset="0"/>
                        </a:rPr>
                        <m:t>𝑧</m:t>
                      </m:r>
                    </m:e>
                    <m:sub>
                      <m:r>
                        <a:rPr lang="ko-KR" altLang="en-US" sz="1100" i="1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  <m:r>
                    <a:rPr lang="ko-KR" altLang="en-US" sz="1100" i="0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ko-KR" altLang="en-US" sz="1100" i="1">
                          <a:solidFill>
                            <a:srgbClr val="836967"/>
                          </a:solidFill>
                          <a:latin typeface="Cambria Math" panose="02040503050406030204" pitchFamily="18" charset="0"/>
                        </a:rPr>
                      </m:ctrlPr>
                    </m:fPr>
                    <m:num>
                      <m:sSup>
                        <m:sSupPr>
                          <m:ctrlPr>
                            <a:rPr lang="ko-KR" altLang="en-US" sz="1100" i="1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m:rPr>
                              <m:sty m:val="p"/>
                            </m:rPr>
                            <a:rPr lang="en-US" altLang="ko-KR" sz="1100" b="0" i="0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  <m:t>l</m:t>
                          </m:r>
                        </m:e>
                        <m:sup>
                          <m:r>
                            <a:rPr lang="ko-KR" altLang="en-US" sz="1100" i="0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  <m:r>
                        <a:rPr lang="ko-KR" altLang="en-US" sz="1100" i="1">
                          <a:latin typeface="Cambria Math" panose="02040503050406030204" pitchFamily="18" charset="0"/>
                        </a:rPr>
                        <m:t>∙</m:t>
                      </m:r>
                      <m:r>
                        <a:rPr lang="en-US" altLang="ko-KR" sz="1100" b="0" i="1">
                          <a:latin typeface="Cambria Math" panose="02040503050406030204" pitchFamily="18" charset="0"/>
                        </a:rPr>
                        <m:t>𝑠</m:t>
                      </m:r>
                      <m:r>
                        <a:rPr lang="en-US" altLang="ko-KR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∙</m:t>
                      </m:r>
                      <m:sSub>
                        <m:sSubPr>
                          <m:ctrlP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𝑝</m:t>
                          </m:r>
                        </m:e>
                        <m:sub>
                          <m: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𝑑</m:t>
                          </m:r>
                        </m:sub>
                      </m:sSub>
                    </m:num>
                    <m:den>
                      <m:func>
                        <m:funcPr>
                          <m:ctrlPr>
                            <a:rPr lang="ko-KR" altLang="en-US" sz="1100" i="1">
                              <a:latin typeface="Cambria Math" panose="02040503050406030204" pitchFamily="18" charset="0"/>
                            </a:rPr>
                          </m:ctrlPr>
                        </m:funcPr>
                        <m:fName>
                          <m:r>
                            <m:rPr>
                              <m:sty m:val="p"/>
                            </m:rPr>
                            <a:rPr lang="ko-KR" altLang="en-US" sz="1100" i="0">
                              <a:latin typeface="Cambria Math" panose="02040503050406030204" pitchFamily="18" charset="0"/>
                            </a:rPr>
                            <m:t>k</m:t>
                          </m:r>
                          <m:r>
                            <m:rPr>
                              <m:sty m:val="p"/>
                            </m:rPr>
                            <a:rPr lang="en-US" altLang="ko-KR" sz="1100" b="0" i="0">
                              <a:latin typeface="Cambria Math" panose="02040503050406030204" pitchFamily="18" charset="0"/>
                            </a:rPr>
                            <m:t>m</m:t>
                          </m:r>
                          <m: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∙</m:t>
                          </m:r>
                        </m:fName>
                        <m:e>
                          <m:sSup>
                            <m:sSupPr>
                              <m:ctrlPr>
                                <a:rPr lang="en-US" altLang="ko-KR" sz="1100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sSub>
                                <m:sSubPr>
                                  <m:ctrlPr>
                                    <a:rPr lang="ko-KR" alt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ko-KR" alt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𝜎</m:t>
                                  </m:r>
                                </m:e>
                                <m:sub>
                                  <m:r>
                                    <a:rPr lang="ko-KR" alt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  <m:r>
                                    <a:rPr lang="en-US" altLang="ko-KR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𝑑</m:t>
                                  </m:r>
                                </m:sub>
                              </m:sSub>
                            </m:e>
                            <m:sup>
                              <m:r>
                                <a:rPr lang="en-US" altLang="ko-KR" sz="11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</m:sup>
                          </m:sSup>
                        </m:e>
                      </m:func>
                      <m:r>
                        <a:rPr lang="ko-KR" altLang="en-US" sz="1100" i="0">
                          <a:latin typeface="Cambria Math" panose="02040503050406030204" pitchFamily="18" charset="0"/>
                        </a:rPr>
                        <m:t>⋅</m:t>
                      </m:r>
                      <m:sSub>
                        <m:sSubPr>
                          <m:ctrlPr>
                            <a:rPr lang="ko-KR" altLang="en-US" sz="1100" i="1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ko-KR" altLang="en-US" sz="110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b>
                          <m:r>
                            <a:rPr lang="ko-KR" altLang="en-US" sz="1100" i="1">
                              <a:latin typeface="Cambria Math" panose="02040503050406030204" pitchFamily="18" charset="0"/>
                            </a:rPr>
                            <m:t>𝑝</m:t>
                          </m:r>
                          <m:r>
                            <a:rPr lang="en-US" altLang="ko-KR" sz="1100" b="0" i="1">
                              <a:latin typeface="Cambria Math" panose="02040503050406030204" pitchFamily="18" charset="0"/>
                            </a:rPr>
                            <m:t>𝑠</m:t>
                          </m:r>
                        </m:sub>
                      </m:sSub>
                    </m:den>
                  </m:f>
                  <m:sSup>
                    <m:sSupPr>
                      <m:ctrlPr>
                        <a:rPr lang="en-US" altLang="ko-KR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altLang="ko-K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10</m:t>
                      </m:r>
                    </m:e>
                    <m:sup>
                      <m:r>
                        <a:rPr lang="en-US" altLang="ko-K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6</m:t>
                      </m:r>
                    </m:sup>
                  </m:sSup>
                </m:oMath>
              </a14:m>
              <a:r>
                <a:rPr lang="en-US" altLang="ko-KR" sz="1100"/>
                <a:t>(mm</a:t>
              </a:r>
              <a:r>
                <a:rPr lang="en-US" altLang="ko-KR" sz="1100" baseline="30000"/>
                <a:t>3</a:t>
              </a:r>
              <a:r>
                <a:rPr lang="en-US" altLang="ko-KR" sz="1100"/>
                <a:t>)</a:t>
              </a:r>
              <a:endParaRPr lang="ko-KR" altLang="en-US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E07A333-F705-4004-B559-A4A0C95DD5D0}"/>
                </a:ext>
              </a:extLst>
            </xdr:cNvPr>
            <xdr:cNvSpPr txBox="1"/>
          </xdr:nvSpPr>
          <xdr:spPr>
            <a:xfrm>
              <a:off x="3615690" y="1728568"/>
              <a:ext cx="1872721" cy="301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ko-KR" altLang="en-US" sz="1100" i="0">
                  <a:latin typeface="Cambria Math" panose="02040503050406030204" pitchFamily="18" charset="0"/>
                </a:rPr>
                <a:t>𝑧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𝑠=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l</a:t>
              </a:r>
              <a:r>
                <a:rPr lang="ko-KR" altLang="en-US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ko-KR" altLang="en-US" sz="1100" i="0">
                  <a:latin typeface="Cambria Math" panose="02040503050406030204" pitchFamily="18" charset="0"/>
                </a:rPr>
                <a:t>2∙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𝑠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∙𝑝_𝑑</a:t>
              </a:r>
              <a:r>
                <a:rPr lang="ko-KR" altLang="en-US" sz="11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)/(〖</a:t>
              </a:r>
              <a:r>
                <a:rPr lang="ko-KR" altLang="en-US" sz="1100" i="0">
                  <a:latin typeface="Cambria Math" panose="02040503050406030204" pitchFamily="18" charset="0"/>
                </a:rPr>
                <a:t>k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m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ko-KR" alt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〗⁡〖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ko-KR" alt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𝜎_𝑃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𝑑〗^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2 </a:t>
              </a:r>
              <a:r>
                <a:rPr lang="ko-KR" altLang="en-US" sz="1100" b="0" i="0">
                  <a:latin typeface="Cambria Math" panose="02040503050406030204" pitchFamily="18" charset="0"/>
                </a:rPr>
                <a:t>〗</a:t>
              </a:r>
              <a:r>
                <a:rPr lang="ko-KR" altLang="en-US" sz="1100" i="0">
                  <a:latin typeface="Cambria Math" panose="02040503050406030204" pitchFamily="18" charset="0"/>
                </a:rPr>
                <a:t>⋅𝑘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𝑝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𝑠 </a:t>
              </a:r>
              <a:r>
                <a:rPr lang="ko-KR" altLang="en-US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10^6</a:t>
              </a:r>
              <a:r>
                <a:rPr lang="en-US" altLang="ko-KR" sz="1100"/>
                <a:t>(mm</a:t>
              </a:r>
              <a:r>
                <a:rPr lang="en-US" altLang="ko-KR" sz="1100" baseline="30000"/>
                <a:t>3</a:t>
              </a:r>
              <a:r>
                <a:rPr lang="en-US" altLang="ko-KR" sz="1100"/>
                <a:t>)</a:t>
              </a:r>
              <a:endParaRPr lang="ko-KR" altLang="en-US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0" y="0"/>
          <a:ext cx="201168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505557</xdr:colOff>
      <xdr:row>0</xdr:row>
      <xdr:rowOff>1</xdr:rowOff>
    </xdr:from>
    <xdr:to>
      <xdr:col>11</xdr:col>
      <xdr:colOff>505556</xdr:colOff>
      <xdr:row>3</xdr:row>
      <xdr:rowOff>0</xdr:rowOff>
    </xdr:to>
    <xdr:sp macro="" textlink="[1]Front!E1">
      <xdr:nvSpPr>
        <xdr:cNvPr id="3" name="직사각형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014317" y="1"/>
          <a:ext cx="402335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19058" cy="87151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</xdr:row>
      <xdr:rowOff>1</xdr:rowOff>
    </xdr:from>
    <xdr:to>
      <xdr:col>12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2011680" y="457201"/>
          <a:ext cx="402336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8</xdr:col>
          <xdr:colOff>0</xdr:colOff>
          <xdr:row>23</xdr:row>
          <xdr:rowOff>144780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24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502920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5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95250</xdr:colOff>
      <xdr:row>13</xdr:row>
      <xdr:rowOff>29308</xdr:rowOff>
    </xdr:from>
    <xdr:ext cx="1284713" cy="2330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SpPr txBox="1"/>
          </xdr:nvSpPr>
          <xdr:spPr>
            <a:xfrm>
              <a:off x="3615690" y="2033368"/>
              <a:ext cx="1284713" cy="2330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ko-KR" altLang="en-US" sz="900" i="1">
                          <a:solidFill>
                            <a:srgbClr val="836967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ko-KR" altLang="en-US" sz="900" i="1">
                          <a:latin typeface="Cambria Math" panose="02040503050406030204" pitchFamily="18" charset="0"/>
                        </a:rPr>
                        <m:t>𝑧</m:t>
                      </m:r>
                    </m:e>
                    <m:sub>
                      <m:r>
                        <a:rPr lang="en-US" altLang="ko-KR" sz="900" b="0" i="1">
                          <a:latin typeface="Cambria Math" panose="02040503050406030204" pitchFamily="18" charset="0"/>
                        </a:rPr>
                        <m:t>𝑔</m:t>
                      </m:r>
                    </m:sub>
                  </m:sSub>
                  <m:r>
                    <a:rPr lang="ko-KR" altLang="en-US" sz="900" i="0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ko-KR" altLang="en-US" sz="900" i="1">
                          <a:solidFill>
                            <a:sysClr val="windowText" lastClr="000000"/>
                          </a:solidFill>
                          <a:latin typeface="Cambria Math" panose="02040503050406030204" pitchFamily="18" charset="0"/>
                        </a:rPr>
                      </m:ctrlPr>
                    </m:fPr>
                    <m:num>
                      <m:sSup>
                        <m:sSupPr>
                          <m:ctrlPr>
                            <a:rPr lang="ko-KR" altLang="en-US" sz="900" i="1">
                              <a:solidFill>
                                <a:sysClr val="windowText" lastClr="000000"/>
                              </a:solidFill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m:rPr>
                              <m:sty m:val="p"/>
                            </m:rPr>
                            <a:rPr lang="en-US" altLang="ko-KR" sz="900" b="0" i="0">
                              <a:solidFill>
                                <a:sysClr val="windowText" lastClr="000000"/>
                              </a:solidFill>
                              <a:latin typeface="Cambria Math" panose="02040503050406030204" pitchFamily="18" charset="0"/>
                            </a:rPr>
                            <m:t>S</m:t>
                          </m:r>
                        </m:e>
                        <m:sup>
                          <m:r>
                            <a:rPr lang="ko-KR" altLang="en-US" sz="900" i="0">
                              <a:solidFill>
                                <a:sysClr val="windowText" lastClr="000000"/>
                              </a:solidFill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  <m:r>
                        <a:rPr lang="ko-KR" altLang="en-US" sz="900" i="1">
                          <a:solidFill>
                            <a:sysClr val="windowText" lastClr="000000"/>
                          </a:solidFill>
                          <a:latin typeface="Cambria Math" panose="02040503050406030204" pitchFamily="18" charset="0"/>
                        </a:rPr>
                        <m:t>∙</m:t>
                      </m:r>
                      <m:r>
                        <a:rPr lang="en-US" altLang="ko-KR" sz="900" b="0" i="1">
                          <a:solidFill>
                            <a:sysClr val="windowText" lastClr="000000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  <m:r>
                        <a:rPr lang="en-US" altLang="ko-KR" sz="900" b="0" i="1">
                          <a:solidFill>
                            <a:sysClr val="windowText" lastClr="000000"/>
                          </a:solidFill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∙</m:t>
                      </m:r>
                      <m:sSub>
                        <m:sSubPr>
                          <m:ctrlPr>
                            <a:rPr lang="en-US" altLang="ko-KR" sz="900" b="0" i="1">
                              <a:solidFill>
                                <a:sysClr val="windowText" lastClr="000000"/>
                              </a:solidFill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altLang="ko-KR" sz="900" b="0" i="1">
                              <a:solidFill>
                                <a:sysClr val="windowText" lastClr="000000"/>
                              </a:solidFill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𝑝</m:t>
                          </m:r>
                        </m:e>
                        <m:sub>
                          <m:r>
                            <a:rPr lang="en-US" altLang="ko-KR" sz="900" b="0" i="1">
                              <a:solidFill>
                                <a:sysClr val="windowText" lastClr="000000"/>
                              </a:solidFill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𝑑</m:t>
                          </m:r>
                        </m:sub>
                      </m:sSub>
                    </m:num>
                    <m:den>
                      <m:func>
                        <m:funcPr>
                          <m:ctrlPr>
                            <a:rPr lang="ko-KR" altLang="en-US" sz="900" i="1">
                              <a:solidFill>
                                <a:sysClr val="windowText" lastClr="000000"/>
                              </a:solidFill>
                              <a:latin typeface="Cambria Math" panose="02040503050406030204" pitchFamily="18" charset="0"/>
                            </a:rPr>
                          </m:ctrlPr>
                        </m:funcPr>
                        <m:fName>
                          <m:r>
                            <m:rPr>
                              <m:sty m:val="p"/>
                            </m:rPr>
                            <a:rPr lang="ko-KR" altLang="en-US" sz="900" i="0">
                              <a:solidFill>
                                <a:sysClr val="windowText" lastClr="000000"/>
                              </a:solidFill>
                              <a:latin typeface="Cambria Math" panose="02040503050406030204" pitchFamily="18" charset="0"/>
                            </a:rPr>
                            <m:t>k</m:t>
                          </m:r>
                          <m:r>
                            <m:rPr>
                              <m:sty m:val="p"/>
                            </m:rPr>
                            <a:rPr lang="en-US" altLang="ko-KR" sz="900" b="0" i="0">
                              <a:solidFill>
                                <a:sysClr val="windowText" lastClr="000000"/>
                              </a:solidFill>
                              <a:latin typeface="Cambria Math" panose="02040503050406030204" pitchFamily="18" charset="0"/>
                            </a:rPr>
                            <m:t>m</m:t>
                          </m:r>
                          <m:r>
                            <a:rPr lang="en-US" altLang="ko-KR" sz="900" b="0" i="1">
                              <a:solidFill>
                                <a:sysClr val="windowText" lastClr="000000"/>
                              </a:solidFill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∙</m:t>
                          </m:r>
                        </m:fName>
                        <m:e>
                          <m:sSub>
                            <m:sSubPr>
                              <m:ctrlPr>
                                <a:rPr lang="ko-KR" altLang="en-US" sz="900" i="1">
                                  <a:solidFill>
                                    <a:sysClr val="windowText" lastClr="000000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ko-KR" altLang="en-US" sz="900" i="1">
                                  <a:solidFill>
                                    <a:sysClr val="windowText" lastClr="000000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𝜎</m:t>
                              </m:r>
                            </m:e>
                            <m:sub>
                              <m:r>
                                <a:rPr lang="ko-KR" altLang="en-US" sz="900" i="1">
                                  <a:solidFill>
                                    <a:sysClr val="windowText" lastClr="000000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</m:t>
                              </m:r>
                              <m:r>
                                <a:rPr lang="en-US" altLang="ko-KR" sz="900" b="0" i="1">
                                  <a:solidFill>
                                    <a:sysClr val="windowText" lastClr="000000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𝑑</m:t>
                              </m:r>
                            </m:sub>
                          </m:sSub>
                          <m:r>
                            <a:rPr lang="en-US" altLang="ko-KR" sz="900" b="0" i="1">
                              <a:solidFill>
                                <a:sysClr val="windowText" lastClr="000000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e>
                      </m:func>
                    </m:den>
                  </m:f>
                  <m:sSup>
                    <m:sSupPr>
                      <m:ctrlPr>
                        <a:rPr lang="en-US" altLang="ko-KR" sz="9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altLang="ko-KR" sz="9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10</m:t>
                      </m:r>
                    </m:e>
                    <m:sup>
                      <m:r>
                        <a:rPr lang="en-US" altLang="ko-KR" sz="9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6</m:t>
                      </m:r>
                    </m:sup>
                  </m:sSup>
                </m:oMath>
              </a14:m>
              <a:r>
                <a:rPr lang="en-US" altLang="ko-KR" sz="900"/>
                <a:t>(mm</a:t>
              </a:r>
              <a:r>
                <a:rPr lang="en-US" altLang="ko-KR" sz="900" baseline="30000"/>
                <a:t>3</a:t>
              </a:r>
              <a:r>
                <a:rPr lang="en-US" altLang="ko-KR" sz="900"/>
                <a:t>)</a:t>
              </a:r>
              <a:endParaRPr lang="ko-KR" altLang="en-US" sz="9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D93A3C3A-B03A-4526-9477-E17329A93B28}"/>
                </a:ext>
              </a:extLst>
            </xdr:cNvPr>
            <xdr:cNvSpPr txBox="1"/>
          </xdr:nvSpPr>
          <xdr:spPr>
            <a:xfrm>
              <a:off x="3615690" y="2033368"/>
              <a:ext cx="1284713" cy="2330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ko-KR" altLang="en-US" sz="900" i="0">
                  <a:latin typeface="Cambria Math" panose="02040503050406030204" pitchFamily="18" charset="0"/>
                </a:rPr>
                <a:t>𝑧</a:t>
              </a:r>
              <a:r>
                <a:rPr lang="ko-KR" altLang="en-US" sz="9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900" b="0" i="0">
                  <a:latin typeface="Cambria Math" panose="02040503050406030204" pitchFamily="18" charset="0"/>
                </a:rPr>
                <a:t>𝑔</a:t>
              </a:r>
              <a:r>
                <a:rPr lang="ko-KR" altLang="en-US" sz="900" i="0">
                  <a:latin typeface="Cambria Math" panose="02040503050406030204" pitchFamily="18" charset="0"/>
                </a:rPr>
                <a:t>=</a:t>
              </a:r>
              <a:r>
                <a:rPr lang="ko-KR" altLang="en-US" sz="90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9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S</a:t>
              </a:r>
              <a:r>
                <a:rPr lang="ko-KR" altLang="en-US" sz="9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^</a:t>
              </a:r>
              <a:r>
                <a:rPr lang="ko-KR" altLang="en-US" sz="90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2∙</a:t>
              </a:r>
              <a:r>
                <a:rPr lang="en-US" altLang="ko-KR" sz="9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𝑏</a:t>
              </a:r>
              <a:r>
                <a:rPr lang="en-US" altLang="ko-KR" sz="900" b="0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∙𝑝_𝑑</a:t>
              </a:r>
              <a:r>
                <a:rPr lang="ko-KR" altLang="en-US" sz="900" b="0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)/〖</a:t>
              </a:r>
              <a:r>
                <a:rPr lang="ko-KR" altLang="en-US" sz="90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k</a:t>
              </a:r>
              <a:r>
                <a:rPr lang="en-US" altLang="ko-KR" sz="9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m</a:t>
              </a:r>
              <a:r>
                <a:rPr lang="en-US" altLang="ko-KR" sz="900" b="0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ko-KR" altLang="en-US" sz="900" b="0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〗⁡〖</a:t>
              </a:r>
              <a:r>
                <a:rPr lang="ko-KR" altLang="en-US" sz="9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𝜎_𝑃</a:t>
              </a:r>
              <a:r>
                <a:rPr lang="en-US" altLang="ko-KR" sz="9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 2</a:t>
              </a:r>
              <a:r>
                <a:rPr lang="ko-KR" altLang="en-US" sz="9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n-US" altLang="ko-KR" sz="9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altLang="ko-KR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10^6</a:t>
              </a:r>
              <a:r>
                <a:rPr lang="en-US" altLang="ko-KR" sz="900"/>
                <a:t>(mm</a:t>
              </a:r>
              <a:r>
                <a:rPr lang="en-US" altLang="ko-KR" sz="900" baseline="30000"/>
                <a:t>3</a:t>
              </a:r>
              <a:r>
                <a:rPr lang="en-US" altLang="ko-KR" sz="900"/>
                <a:t>)</a:t>
              </a:r>
              <a:endParaRPr lang="ko-KR" altLang="en-US" sz="9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2cc805aba2fc4c0f/XET.Offshore_scantling%20-%20Copy.xlsm" TargetMode="External"/><Relationship Id="rId1" Type="http://schemas.openxmlformats.org/officeDocument/2006/relationships/externalLinkPath" Target="https://d.docs.live.net/2cc805aba2fc4c0f/XET.Offshore_scantling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ront"/>
      <sheetName val="Scantling"/>
      <sheetName val="Plates"/>
      <sheetName val="Stiffeners"/>
      <sheetName val="Girder"/>
      <sheetName val="Weld_Connection"/>
      <sheetName val="connection_area"/>
    </sheetNames>
    <definedNames>
      <definedName name="Calculator3_Click"/>
      <definedName name="CleaeAll_Click"/>
      <definedName name="Delete_Click"/>
    </definedNames>
    <sheetDataSet>
      <sheetData sheetId="0">
        <row r="3">
          <cell r="E3" t="str">
            <v>NV-NS</v>
          </cell>
          <cell r="F3">
            <v>235</v>
          </cell>
          <cell r="G3">
            <v>1</v>
          </cell>
          <cell r="H3">
            <v>1</v>
          </cell>
        </row>
        <row r="4">
          <cell r="E4" t="str">
            <v>NV-27</v>
          </cell>
          <cell r="F4">
            <v>265</v>
          </cell>
          <cell r="G4">
            <v>1.08</v>
          </cell>
          <cell r="H4">
            <v>0.92592592592592582</v>
          </cell>
        </row>
        <row r="5">
          <cell r="E5" t="str">
            <v>NV-32</v>
          </cell>
          <cell r="F5">
            <v>315</v>
          </cell>
          <cell r="G5">
            <v>1.28</v>
          </cell>
          <cell r="H5">
            <v>0.78125</v>
          </cell>
        </row>
        <row r="6">
          <cell r="E6" t="str">
            <v>NV-36</v>
          </cell>
          <cell r="F6">
            <v>355</v>
          </cell>
          <cell r="G6">
            <v>1.39</v>
          </cell>
          <cell r="H6">
            <v>0.71942446043165476</v>
          </cell>
        </row>
        <row r="7">
          <cell r="E7" t="str">
            <v>NV-40</v>
          </cell>
          <cell r="F7">
            <v>390</v>
          </cell>
          <cell r="G7">
            <v>1.47</v>
          </cell>
          <cell r="H7">
            <v>0.68027210884353739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A02B9-6026-4657-8B68-C8E035544185}">
  <sheetPr codeName="Sheet1"/>
  <dimension ref="A1:H26"/>
  <sheetViews>
    <sheetView workbookViewId="0">
      <selection activeCell="E7" sqref="E7"/>
    </sheetView>
  </sheetViews>
  <sheetFormatPr defaultRowHeight="17.399999999999999" x14ac:dyDescent="0.4"/>
  <cols>
    <col min="6" max="6" width="8.8984375" customWidth="1"/>
  </cols>
  <sheetData>
    <row r="1" spans="1:8" x14ac:dyDescent="0.4">
      <c r="A1" t="s">
        <v>1</v>
      </c>
      <c r="B1" s="3" t="s">
        <v>1</v>
      </c>
      <c r="C1" s="3" t="str">
        <f t="shared" ref="C1:C23" si="0">LOWER(B1)</f>
        <v>a</v>
      </c>
      <c r="D1" t="s">
        <v>47</v>
      </c>
      <c r="E1" t="s">
        <v>104</v>
      </c>
    </row>
    <row r="2" spans="1:8" x14ac:dyDescent="0.4">
      <c r="A2" t="s">
        <v>2</v>
      </c>
      <c r="B2" s="3" t="s">
        <v>2</v>
      </c>
      <c r="C2" s="3" t="str">
        <f t="shared" si="0"/>
        <v>b</v>
      </c>
      <c r="D2" t="s">
        <v>48</v>
      </c>
    </row>
    <row r="3" spans="1:8" x14ac:dyDescent="0.4">
      <c r="A3" t="s">
        <v>3</v>
      </c>
      <c r="B3" s="3" t="s">
        <v>3</v>
      </c>
      <c r="C3" s="3" t="str">
        <f t="shared" si="0"/>
        <v>c</v>
      </c>
      <c r="D3" t="s">
        <v>49</v>
      </c>
      <c r="E3" t="s">
        <v>110</v>
      </c>
      <c r="F3">
        <v>235</v>
      </c>
      <c r="G3">
        <v>1</v>
      </c>
      <c r="H3" s="29">
        <f>1/G3</f>
        <v>1</v>
      </c>
    </row>
    <row r="4" spans="1:8" x14ac:dyDescent="0.4">
      <c r="A4" t="s">
        <v>4</v>
      </c>
      <c r="B4" s="3" t="s">
        <v>4</v>
      </c>
      <c r="C4" s="3" t="str">
        <f t="shared" si="0"/>
        <v>d</v>
      </c>
      <c r="D4" t="s">
        <v>66</v>
      </c>
      <c r="E4" t="s">
        <v>111</v>
      </c>
      <c r="F4">
        <v>265</v>
      </c>
      <c r="G4">
        <v>1.08</v>
      </c>
      <c r="H4" s="29">
        <f>1/G4</f>
        <v>0.92592592592592582</v>
      </c>
    </row>
    <row r="5" spans="1:8" x14ac:dyDescent="0.4">
      <c r="A5" t="s">
        <v>5</v>
      </c>
      <c r="B5" s="3" t="s">
        <v>5</v>
      </c>
      <c r="C5" s="3" t="str">
        <f t="shared" si="0"/>
        <v>e</v>
      </c>
      <c r="D5" t="s">
        <v>50</v>
      </c>
      <c r="E5" t="s">
        <v>112</v>
      </c>
      <c r="F5">
        <v>315</v>
      </c>
      <c r="G5">
        <v>1.28</v>
      </c>
      <c r="H5" s="29">
        <f>1/G5</f>
        <v>0.78125</v>
      </c>
    </row>
    <row r="6" spans="1:8" x14ac:dyDescent="0.4">
      <c r="A6" t="s">
        <v>6</v>
      </c>
      <c r="B6" s="3" t="s">
        <v>6</v>
      </c>
      <c r="C6" s="3" t="str">
        <f t="shared" si="0"/>
        <v>f</v>
      </c>
      <c r="D6" t="s">
        <v>51</v>
      </c>
      <c r="E6" t="s">
        <v>114</v>
      </c>
      <c r="F6">
        <v>355</v>
      </c>
      <c r="G6">
        <v>1.39</v>
      </c>
      <c r="H6" s="29">
        <f>1/G6</f>
        <v>0.71942446043165476</v>
      </c>
    </row>
    <row r="7" spans="1:8" x14ac:dyDescent="0.4">
      <c r="A7" t="s">
        <v>7</v>
      </c>
      <c r="B7" s="3" t="s">
        <v>7</v>
      </c>
      <c r="C7" s="3" t="str">
        <f t="shared" si="0"/>
        <v>g</v>
      </c>
      <c r="D7" t="s">
        <v>37</v>
      </c>
      <c r="E7" t="s">
        <v>115</v>
      </c>
      <c r="F7">
        <v>390</v>
      </c>
      <c r="G7">
        <v>1.47</v>
      </c>
      <c r="H7" s="29">
        <f>1/G7</f>
        <v>0.68027210884353739</v>
      </c>
    </row>
    <row r="8" spans="1:8" x14ac:dyDescent="0.4">
      <c r="A8" t="s">
        <v>8</v>
      </c>
      <c r="B8" s="3" t="s">
        <v>8</v>
      </c>
      <c r="C8" s="3" t="str">
        <f t="shared" si="0"/>
        <v>h</v>
      </c>
      <c r="D8" t="s">
        <v>31</v>
      </c>
    </row>
    <row r="9" spans="1:8" x14ac:dyDescent="0.4">
      <c r="A9" t="s">
        <v>9</v>
      </c>
      <c r="B9" s="3" t="s">
        <v>9</v>
      </c>
      <c r="C9" s="3" t="str">
        <f t="shared" si="0"/>
        <v>i</v>
      </c>
      <c r="D9" t="s">
        <v>52</v>
      </c>
    </row>
    <row r="10" spans="1:8" x14ac:dyDescent="0.4">
      <c r="A10" t="s">
        <v>10</v>
      </c>
      <c r="B10" s="3" t="s">
        <v>10</v>
      </c>
      <c r="C10" s="3" t="str">
        <f t="shared" si="0"/>
        <v>j</v>
      </c>
      <c r="D10" t="s">
        <v>53</v>
      </c>
    </row>
    <row r="11" spans="1:8" x14ac:dyDescent="0.4">
      <c r="A11" t="s">
        <v>11</v>
      </c>
      <c r="B11" s="3" t="s">
        <v>11</v>
      </c>
      <c r="C11" s="3" t="str">
        <f t="shared" si="0"/>
        <v>k</v>
      </c>
      <c r="D11" t="s">
        <v>54</v>
      </c>
    </row>
    <row r="12" spans="1:8" x14ac:dyDescent="0.4">
      <c r="A12" t="s">
        <v>12</v>
      </c>
      <c r="B12" s="3" t="s">
        <v>12</v>
      </c>
      <c r="C12" s="3" t="str">
        <f t="shared" si="0"/>
        <v>l</v>
      </c>
      <c r="D12" t="s">
        <v>55</v>
      </c>
    </row>
    <row r="13" spans="1:8" x14ac:dyDescent="0.4">
      <c r="A13" t="s">
        <v>13</v>
      </c>
      <c r="B13" s="3" t="s">
        <v>13</v>
      </c>
      <c r="C13" s="3" t="str">
        <f t="shared" si="0"/>
        <v>m</v>
      </c>
      <c r="D13" t="s">
        <v>21</v>
      </c>
    </row>
    <row r="14" spans="1:8" x14ac:dyDescent="0.4">
      <c r="A14" t="s">
        <v>15</v>
      </c>
      <c r="B14" s="3" t="s">
        <v>15</v>
      </c>
      <c r="C14" s="3" t="str">
        <f t="shared" si="0"/>
        <v>n</v>
      </c>
      <c r="D14" t="s">
        <v>56</v>
      </c>
    </row>
    <row r="15" spans="1:8" x14ac:dyDescent="0.4">
      <c r="A15" t="s">
        <v>17</v>
      </c>
      <c r="B15" s="3" t="s">
        <v>17</v>
      </c>
      <c r="C15" s="3" t="str">
        <f t="shared" si="0"/>
        <v>o</v>
      </c>
      <c r="D15" t="s">
        <v>57</v>
      </c>
    </row>
    <row r="16" spans="1:8" x14ac:dyDescent="0.4">
      <c r="A16" t="s">
        <v>18</v>
      </c>
      <c r="B16" s="3" t="s">
        <v>18</v>
      </c>
      <c r="C16" s="3" t="str">
        <f t="shared" si="0"/>
        <v>p</v>
      </c>
      <c r="D16" t="s">
        <v>58</v>
      </c>
    </row>
    <row r="17" spans="1:4" x14ac:dyDescent="0.4">
      <c r="A17" t="s">
        <v>20</v>
      </c>
      <c r="B17" s="3" t="s">
        <v>20</v>
      </c>
      <c r="C17" s="3" t="str">
        <f t="shared" si="0"/>
        <v>q</v>
      </c>
      <c r="D17" t="s">
        <v>59</v>
      </c>
    </row>
    <row r="18" spans="1:4" x14ac:dyDescent="0.4">
      <c r="A18" t="s">
        <v>22</v>
      </c>
      <c r="B18" s="3" t="s">
        <v>22</v>
      </c>
      <c r="C18" s="3" t="str">
        <f t="shared" si="0"/>
        <v>r</v>
      </c>
      <c r="D18" t="s">
        <v>34</v>
      </c>
    </row>
    <row r="19" spans="1:4" x14ac:dyDescent="0.4">
      <c r="A19" t="s">
        <v>23</v>
      </c>
      <c r="B19" s="3" t="s">
        <v>23</v>
      </c>
      <c r="C19" s="3" t="str">
        <f t="shared" si="0"/>
        <v>s</v>
      </c>
      <c r="D19" t="s">
        <v>41</v>
      </c>
    </row>
    <row r="20" spans="1:4" x14ac:dyDescent="0.4">
      <c r="A20" t="s">
        <v>24</v>
      </c>
      <c r="B20" s="3" t="s">
        <v>24</v>
      </c>
      <c r="C20" s="3" t="str">
        <f t="shared" si="0"/>
        <v>t</v>
      </c>
      <c r="D20" t="s">
        <v>45</v>
      </c>
    </row>
    <row r="21" spans="1:4" x14ac:dyDescent="0.4">
      <c r="A21" t="s">
        <v>25</v>
      </c>
      <c r="B21" s="3" t="s">
        <v>25</v>
      </c>
      <c r="C21" s="3" t="str">
        <f t="shared" si="0"/>
        <v>u</v>
      </c>
      <c r="D21" t="s">
        <v>60</v>
      </c>
    </row>
    <row r="22" spans="1:4" x14ac:dyDescent="0.4">
      <c r="A22" t="s">
        <v>26</v>
      </c>
      <c r="B22" s="3" t="s">
        <v>26</v>
      </c>
      <c r="C22" s="3" t="str">
        <f t="shared" si="0"/>
        <v>v</v>
      </c>
      <c r="D22" t="s">
        <v>61</v>
      </c>
    </row>
    <row r="23" spans="1:4" x14ac:dyDescent="0.4">
      <c r="A23" t="s">
        <v>27</v>
      </c>
      <c r="B23" s="3" t="s">
        <v>27</v>
      </c>
      <c r="C23" s="3" t="str">
        <f t="shared" si="0"/>
        <v>w</v>
      </c>
      <c r="D23" t="s">
        <v>62</v>
      </c>
    </row>
    <row r="24" spans="1:4" x14ac:dyDescent="0.4">
      <c r="A24" t="s">
        <v>28</v>
      </c>
      <c r="B24" s="3" t="s">
        <v>28</v>
      </c>
      <c r="C24" s="3" t="s">
        <v>63</v>
      </c>
      <c r="D24" t="s">
        <v>63</v>
      </c>
    </row>
    <row r="25" spans="1:4" x14ac:dyDescent="0.4">
      <c r="A25" t="s">
        <v>29</v>
      </c>
      <c r="B25" s="3" t="s">
        <v>29</v>
      </c>
      <c r="C25" s="3" t="s">
        <v>64</v>
      </c>
      <c r="D25" t="s">
        <v>64</v>
      </c>
    </row>
    <row r="26" spans="1:4" x14ac:dyDescent="0.4">
      <c r="A26" t="s">
        <v>30</v>
      </c>
      <c r="B26" s="3" t="s">
        <v>30</v>
      </c>
      <c r="C26" s="3" t="s">
        <v>65</v>
      </c>
      <c r="D26" t="s">
        <v>65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F069A-7467-4C22-A8F5-7B5317E9A7BE}">
  <sheetPr codeName="Sheet2"/>
  <dimension ref="A2:R78"/>
  <sheetViews>
    <sheetView topLeftCell="A23" zoomScale="130" zoomScaleNormal="130" workbookViewId="0">
      <selection activeCell="I45" sqref="I45"/>
    </sheetView>
  </sheetViews>
  <sheetFormatPr defaultRowHeight="17.399999999999999" x14ac:dyDescent="0.4"/>
  <cols>
    <col min="7" max="10" width="8.69921875" customWidth="1"/>
  </cols>
  <sheetData>
    <row r="2" spans="1:14" ht="25.2" x14ac:dyDescent="0.4">
      <c r="A2" s="9" t="s">
        <v>0</v>
      </c>
    </row>
    <row r="4" spans="1:14" x14ac:dyDescent="0.4">
      <c r="A4" t="s">
        <v>33</v>
      </c>
      <c r="D4" s="10" t="s">
        <v>34</v>
      </c>
      <c r="E4" s="5" t="s">
        <v>35</v>
      </c>
      <c r="F4" s="5" t="s">
        <v>36</v>
      </c>
      <c r="G4" s="10" t="s">
        <v>78</v>
      </c>
      <c r="H4" s="5" t="s">
        <v>32</v>
      </c>
    </row>
    <row r="5" spans="1:14" x14ac:dyDescent="0.4">
      <c r="D5" s="5">
        <v>1.0249999999999999</v>
      </c>
      <c r="E5" s="5">
        <v>9.81</v>
      </c>
      <c r="F5" s="5">
        <v>10.5</v>
      </c>
      <c r="G5" s="5">
        <v>1.3</v>
      </c>
      <c r="H5" s="6">
        <f>(D5*E5*F5+25)*G5</f>
        <v>169.75416250000001</v>
      </c>
    </row>
    <row r="8" spans="1:14" x14ac:dyDescent="0.4">
      <c r="A8" s="11" t="s">
        <v>38</v>
      </c>
    </row>
    <row r="13" spans="1:14" x14ac:dyDescent="0.4">
      <c r="A13" s="8" t="s">
        <v>39</v>
      </c>
      <c r="C13" t="s">
        <v>14</v>
      </c>
      <c r="D13" t="s">
        <v>16</v>
      </c>
    </row>
    <row r="15" spans="1:14" x14ac:dyDescent="0.4">
      <c r="A15" s="5" t="s">
        <v>40</v>
      </c>
      <c r="B15" s="5" t="s">
        <v>79</v>
      </c>
      <c r="C15" s="5" t="s">
        <v>42</v>
      </c>
      <c r="D15" s="5" t="s">
        <v>80</v>
      </c>
      <c r="E15" s="10" t="s">
        <v>44</v>
      </c>
      <c r="F15" s="5" t="s">
        <v>81</v>
      </c>
      <c r="G15" s="17" t="s">
        <v>85</v>
      </c>
      <c r="H15" s="17" t="s">
        <v>86</v>
      </c>
      <c r="I15" s="18" t="s">
        <v>88</v>
      </c>
      <c r="J15" s="17" t="s">
        <v>87</v>
      </c>
      <c r="K15" s="21" t="s">
        <v>82</v>
      </c>
      <c r="L15" s="5" t="s">
        <v>83</v>
      </c>
      <c r="M15" s="22" t="s">
        <v>84</v>
      </c>
      <c r="N15" s="5" t="s">
        <v>45</v>
      </c>
    </row>
    <row r="16" spans="1:14" x14ac:dyDescent="0.4">
      <c r="A16" s="6">
        <v>1</v>
      </c>
      <c r="B16" s="5">
        <v>0.75</v>
      </c>
      <c r="C16" s="5">
        <v>1</v>
      </c>
      <c r="D16" s="5">
        <v>355</v>
      </c>
      <c r="E16" s="5">
        <v>1.1499999999999999</v>
      </c>
      <c r="F16" s="6">
        <f>D16/E16</f>
        <v>308.69565217391306</v>
      </c>
      <c r="G16" s="19"/>
      <c r="H16" s="19"/>
      <c r="I16" s="19"/>
      <c r="J16" s="20">
        <f>SQRT(G16^2+H16^2-G16*H16-3*I16^2)</f>
        <v>0</v>
      </c>
      <c r="K16" s="6">
        <f>MIN(1.3*(F16-J16),F16)</f>
        <v>308.69565217391306</v>
      </c>
      <c r="L16" s="5">
        <v>10.5</v>
      </c>
      <c r="M16" s="6">
        <f>(1.025*9.81*L16+25)*$G$5</f>
        <v>169.75416250000001</v>
      </c>
      <c r="N16" s="7">
        <f>15.8*A16*B16*SQRT(M16)/SQRT(K16*C16)</f>
        <v>8.7874589681016193</v>
      </c>
    </row>
    <row r="19" spans="1:14" x14ac:dyDescent="0.4">
      <c r="A19" s="8" t="s">
        <v>46</v>
      </c>
      <c r="C19" t="s">
        <v>14</v>
      </c>
      <c r="D19" t="s">
        <v>19</v>
      </c>
    </row>
    <row r="21" spans="1:14" x14ac:dyDescent="0.4">
      <c r="A21" s="5" t="s">
        <v>40</v>
      </c>
      <c r="B21" s="5" t="s">
        <v>79</v>
      </c>
      <c r="C21" s="5" t="s">
        <v>42</v>
      </c>
      <c r="D21" s="5" t="s">
        <v>80</v>
      </c>
      <c r="E21" s="10" t="s">
        <v>44</v>
      </c>
      <c r="F21" s="5" t="s">
        <v>81</v>
      </c>
      <c r="G21" s="17" t="s">
        <v>85</v>
      </c>
      <c r="H21" s="17" t="s">
        <v>86</v>
      </c>
      <c r="I21" s="18" t="s">
        <v>88</v>
      </c>
      <c r="J21" s="17" t="s">
        <v>87</v>
      </c>
      <c r="K21" s="21" t="s">
        <v>82</v>
      </c>
      <c r="L21" s="5" t="s">
        <v>83</v>
      </c>
      <c r="M21" s="22" t="s">
        <v>84</v>
      </c>
      <c r="N21" s="5" t="s">
        <v>45</v>
      </c>
    </row>
    <row r="22" spans="1:14" x14ac:dyDescent="0.4">
      <c r="A22" s="6">
        <v>1</v>
      </c>
      <c r="B22" s="5">
        <v>0.75</v>
      </c>
      <c r="C22" s="5">
        <v>1</v>
      </c>
      <c r="D22" s="5">
        <v>355</v>
      </c>
      <c r="E22" s="5">
        <v>1.1499999999999999</v>
      </c>
      <c r="F22" s="6">
        <f>D22/E22</f>
        <v>308.69565217391306</v>
      </c>
      <c r="G22" s="19"/>
      <c r="H22" s="19"/>
      <c r="I22" s="19"/>
      <c r="J22" s="19"/>
      <c r="K22" s="6">
        <f>F22</f>
        <v>308.69565217391306</v>
      </c>
      <c r="L22" s="5">
        <v>0</v>
      </c>
      <c r="M22" s="6">
        <f>(rho*grav*L22 + 25)*G5</f>
        <v>32.5</v>
      </c>
      <c r="N22" s="6">
        <f>15.8*A22*B22*SQRT(M22)/SQRT(K22*C22)</f>
        <v>3.8449861032002204</v>
      </c>
    </row>
    <row r="24" spans="1:14" x14ac:dyDescent="0.4">
      <c r="A24" s="8" t="s">
        <v>67</v>
      </c>
    </row>
    <row r="26" spans="1:14" x14ac:dyDescent="0.4">
      <c r="A26" s="5" t="s">
        <v>40</v>
      </c>
      <c r="B26" s="5" t="s">
        <v>79</v>
      </c>
      <c r="C26" s="5" t="s">
        <v>42</v>
      </c>
      <c r="D26" s="5" t="s">
        <v>80</v>
      </c>
      <c r="E26" s="10" t="s">
        <v>44</v>
      </c>
      <c r="F26" s="5" t="s">
        <v>81</v>
      </c>
      <c r="G26" s="17" t="s">
        <v>85</v>
      </c>
      <c r="H26" s="17" t="s">
        <v>86</v>
      </c>
      <c r="I26" s="18" t="s">
        <v>88</v>
      </c>
      <c r="J26" s="17" t="s">
        <v>87</v>
      </c>
      <c r="K26" s="21" t="s">
        <v>82</v>
      </c>
      <c r="L26" s="5" t="s">
        <v>83</v>
      </c>
      <c r="M26" s="22" t="s">
        <v>84</v>
      </c>
      <c r="N26" s="5" t="s">
        <v>45</v>
      </c>
    </row>
    <row r="27" spans="1:14" x14ac:dyDescent="0.4">
      <c r="A27" s="6">
        <v>1</v>
      </c>
      <c r="B27" s="5">
        <v>0.75</v>
      </c>
      <c r="C27" s="5">
        <v>1</v>
      </c>
      <c r="D27" s="5">
        <v>355</v>
      </c>
      <c r="E27" s="5">
        <v>1.1499999999999999</v>
      </c>
      <c r="F27" s="6">
        <f>D27/E27</f>
        <v>308.69565217391306</v>
      </c>
      <c r="G27" s="19"/>
      <c r="H27" s="19"/>
      <c r="I27" s="19"/>
      <c r="J27" s="19"/>
      <c r="K27" s="6">
        <f>F27</f>
        <v>308.69565217391306</v>
      </c>
      <c r="L27" s="7">
        <v>10.5</v>
      </c>
      <c r="M27" s="6">
        <f>(rho*grav*L27+25)*$G$5</f>
        <v>169.75416250000001</v>
      </c>
      <c r="N27" s="6">
        <f>15.8*A27*B27*SQRT(M27)/SQRT(K27*C27)</f>
        <v>8.7874589681016193</v>
      </c>
    </row>
    <row r="28" spans="1:14" x14ac:dyDescent="0.4">
      <c r="A28" s="6">
        <v>1</v>
      </c>
      <c r="B28" s="5">
        <v>0.75</v>
      </c>
      <c r="C28" s="5">
        <v>1</v>
      </c>
      <c r="D28" s="5">
        <v>355</v>
      </c>
      <c r="E28" s="5">
        <v>1.1499999999999999</v>
      </c>
      <c r="F28" s="6">
        <f t="shared" ref="F28:F30" si="0">D28/E28</f>
        <v>308.69565217391306</v>
      </c>
      <c r="G28" s="19"/>
      <c r="H28" s="19"/>
      <c r="I28" s="19"/>
      <c r="J28" s="19"/>
      <c r="K28" s="6">
        <f>F28</f>
        <v>308.69565217391306</v>
      </c>
      <c r="L28" s="7">
        <f>L27-2.9</f>
        <v>7.6</v>
      </c>
      <c r="M28" s="6">
        <f>(rho*grav*L28+25)*$G$5</f>
        <v>131.84586999999999</v>
      </c>
      <c r="N28" s="6">
        <f>15.8*A28*B28*SQRT(M28)/SQRT(K28*C28)</f>
        <v>7.7443747294109384</v>
      </c>
    </row>
    <row r="29" spans="1:14" x14ac:dyDescent="0.4">
      <c r="A29" s="6">
        <v>1</v>
      </c>
      <c r="B29" s="5">
        <v>0.75</v>
      </c>
      <c r="C29" s="5">
        <v>1</v>
      </c>
      <c r="D29" s="5">
        <v>355</v>
      </c>
      <c r="E29" s="5">
        <v>1.1499999999999999</v>
      </c>
      <c r="F29" s="6">
        <f t="shared" si="0"/>
        <v>308.69565217391306</v>
      </c>
      <c r="G29" s="19"/>
      <c r="H29" s="19"/>
      <c r="I29" s="19"/>
      <c r="J29" s="19"/>
      <c r="K29" s="6">
        <f>F29</f>
        <v>308.69565217391306</v>
      </c>
      <c r="L29" s="7">
        <f>L28-2.9</f>
        <v>4.6999999999999993</v>
      </c>
      <c r="M29" s="6">
        <f>(rho*grav*L29+25)*$G$5</f>
        <v>93.937577499999989</v>
      </c>
      <c r="N29" s="6">
        <f>15.8*A29*B29*SQRT(M29)/SQRT(K29*C29)</f>
        <v>6.5369140106787329</v>
      </c>
    </row>
    <row r="30" spans="1:14" x14ac:dyDescent="0.4">
      <c r="A30" s="6">
        <v>1</v>
      </c>
      <c r="B30" s="5">
        <v>0.75</v>
      </c>
      <c r="C30" s="5">
        <v>1</v>
      </c>
      <c r="D30" s="5">
        <v>355</v>
      </c>
      <c r="E30" s="5">
        <v>1.1499999999999999</v>
      </c>
      <c r="F30" s="6">
        <f t="shared" si="0"/>
        <v>308.69565217391306</v>
      </c>
      <c r="G30" s="19"/>
      <c r="H30" s="19"/>
      <c r="I30" s="19"/>
      <c r="J30" s="19"/>
      <c r="K30" s="6">
        <f>F30</f>
        <v>308.69565217391306</v>
      </c>
      <c r="L30" s="7">
        <f>L29-2.9</f>
        <v>1.7999999999999994</v>
      </c>
      <c r="M30" s="6">
        <f>(rho*grav*L30+25)*$G$5</f>
        <v>56.029284999999987</v>
      </c>
      <c r="N30" s="6">
        <f>15.8*A30*B30*SQRT(M30)/SQRT(K30*C30)</f>
        <v>5.0484799312740778</v>
      </c>
    </row>
    <row r="33" spans="1:15" x14ac:dyDescent="0.4">
      <c r="A33" s="14" t="s">
        <v>68</v>
      </c>
    </row>
    <row r="34" spans="1:15" x14ac:dyDescent="0.4">
      <c r="E34" t="s">
        <v>69</v>
      </c>
      <c r="G34" t="s">
        <v>77</v>
      </c>
      <c r="H34" t="s">
        <v>70</v>
      </c>
    </row>
    <row r="38" spans="1:15" x14ac:dyDescent="0.4">
      <c r="A38" s="8" t="s">
        <v>71</v>
      </c>
    </row>
    <row r="39" spans="1:15" x14ac:dyDescent="0.4">
      <c r="A39" t="s">
        <v>93</v>
      </c>
      <c r="C39">
        <v>750</v>
      </c>
      <c r="D39">
        <v>12</v>
      </c>
      <c r="E39" s="1" t="s">
        <v>94</v>
      </c>
      <c r="F39" s="24">
        <v>667</v>
      </c>
      <c r="G39" s="2" t="s">
        <v>95</v>
      </c>
      <c r="H39" s="1" t="s">
        <v>102</v>
      </c>
      <c r="I39">
        <f>300*11</f>
        <v>3300</v>
      </c>
    </row>
    <row r="40" spans="1:15" x14ac:dyDescent="0.4">
      <c r="A40" s="5" t="s">
        <v>89</v>
      </c>
      <c r="B40" s="5" t="s">
        <v>79</v>
      </c>
      <c r="C40" s="5" t="s">
        <v>90</v>
      </c>
      <c r="D40" s="22" t="s">
        <v>84</v>
      </c>
      <c r="E40" s="5" t="s">
        <v>72</v>
      </c>
      <c r="F40" s="5" t="s">
        <v>75</v>
      </c>
      <c r="G40" s="5" t="s">
        <v>80</v>
      </c>
      <c r="H40" s="10" t="s">
        <v>44</v>
      </c>
      <c r="I40" s="5" t="s">
        <v>81</v>
      </c>
      <c r="J40" s="15" t="s">
        <v>74</v>
      </c>
      <c r="K40" s="4" t="s">
        <v>73</v>
      </c>
      <c r="L40" s="4" t="s">
        <v>91</v>
      </c>
      <c r="M40" s="15" t="s">
        <v>100</v>
      </c>
      <c r="N40" s="4" t="s">
        <v>99</v>
      </c>
      <c r="O40" s="4" t="s">
        <v>101</v>
      </c>
    </row>
    <row r="41" spans="1:15" x14ac:dyDescent="0.4">
      <c r="A41" s="16">
        <v>4</v>
      </c>
      <c r="B41" s="5">
        <v>0.75</v>
      </c>
      <c r="C41" s="5">
        <v>10.5</v>
      </c>
      <c r="D41" s="6">
        <f>(rho*grav*C41+25)*$G$5</f>
        <v>169.75416250000001</v>
      </c>
      <c r="E41" s="6">
        <v>1</v>
      </c>
      <c r="F41" s="5">
        <v>12</v>
      </c>
      <c r="G41" s="5">
        <v>355</v>
      </c>
      <c r="H41" s="5">
        <v>1.1499999999999999</v>
      </c>
      <c r="I41" s="6">
        <f>G41/H41</f>
        <v>308.69565217391306</v>
      </c>
      <c r="J41" s="5">
        <v>0</v>
      </c>
      <c r="K41" s="6">
        <f>I41-J41</f>
        <v>308.69565217391306</v>
      </c>
      <c r="L41" s="23">
        <f>A41^2*B41*D41/(F41*K41*E41)*10^3</f>
        <v>549.90785035211263</v>
      </c>
      <c r="M41" s="12">
        <v>0</v>
      </c>
      <c r="N41" s="25">
        <f>0.577*SQRT(I41^2-M41^2)</f>
        <v>178.11739130434782</v>
      </c>
      <c r="O41" s="25">
        <f>A41*B41*D41*10^3/(2*N41)</f>
        <v>1429.5698016086119</v>
      </c>
    </row>
    <row r="44" spans="1:15" x14ac:dyDescent="0.4">
      <c r="A44" s="8" t="s">
        <v>76</v>
      </c>
    </row>
    <row r="45" spans="1:15" x14ac:dyDescent="0.4">
      <c r="A45" t="s">
        <v>92</v>
      </c>
      <c r="C45">
        <v>750</v>
      </c>
      <c r="D45">
        <v>12</v>
      </c>
      <c r="E45" s="1" t="s">
        <v>94</v>
      </c>
      <c r="F45">
        <v>537</v>
      </c>
      <c r="G45" s="2" t="s">
        <v>95</v>
      </c>
      <c r="H45" s="1" t="s">
        <v>102</v>
      </c>
      <c r="I45">
        <f>250*12</f>
        <v>3000</v>
      </c>
    </row>
    <row r="46" spans="1:15" x14ac:dyDescent="0.4">
      <c r="A46" s="5" t="s">
        <v>89</v>
      </c>
      <c r="B46" s="5" t="s">
        <v>79</v>
      </c>
      <c r="C46" s="5" t="s">
        <v>90</v>
      </c>
      <c r="D46" s="22" t="s">
        <v>84</v>
      </c>
      <c r="E46" s="5" t="s">
        <v>72</v>
      </c>
      <c r="F46" s="5" t="s">
        <v>75</v>
      </c>
      <c r="G46" s="5" t="s">
        <v>80</v>
      </c>
      <c r="H46" s="10" t="s">
        <v>44</v>
      </c>
      <c r="I46" s="5" t="s">
        <v>81</v>
      </c>
      <c r="J46" s="15" t="s">
        <v>74</v>
      </c>
      <c r="K46" s="4" t="s">
        <v>73</v>
      </c>
      <c r="L46" s="4" t="s">
        <v>91</v>
      </c>
      <c r="M46" s="15" t="s">
        <v>100</v>
      </c>
      <c r="N46" s="4" t="s">
        <v>99</v>
      </c>
      <c r="O46" s="4" t="s">
        <v>101</v>
      </c>
    </row>
    <row r="47" spans="1:15" x14ac:dyDescent="0.4">
      <c r="A47" s="16">
        <v>4</v>
      </c>
      <c r="B47" s="5">
        <v>0.75</v>
      </c>
      <c r="C47" s="5">
        <v>0</v>
      </c>
      <c r="D47" s="6">
        <f>(rho*grav*C47+25)*$G$5</f>
        <v>32.5</v>
      </c>
      <c r="E47" s="6">
        <v>1</v>
      </c>
      <c r="F47" s="5">
        <v>12</v>
      </c>
      <c r="G47" s="5">
        <v>355</v>
      </c>
      <c r="H47" s="5">
        <v>1.1499999999999999</v>
      </c>
      <c r="I47" s="6">
        <f>G47/H47</f>
        <v>308.69565217391306</v>
      </c>
      <c r="J47" s="5">
        <v>0</v>
      </c>
      <c r="K47" s="6">
        <f>I47-J47</f>
        <v>308.69565217391306</v>
      </c>
      <c r="L47" s="6">
        <f>A47^2*B47*D47/(F47*K47*E47)*10^3</f>
        <v>105.28169014084506</v>
      </c>
      <c r="M47" s="12">
        <v>0</v>
      </c>
      <c r="N47" s="25">
        <f>0.577*SQRT(I47^2-M47^2)</f>
        <v>178.11739130434782</v>
      </c>
      <c r="O47" s="25">
        <f>A47*B47*D47*10^3/(2*N47)</f>
        <v>273.69590157931992</v>
      </c>
    </row>
    <row r="49" spans="1:15" x14ac:dyDescent="0.4">
      <c r="A49" t="s">
        <v>97</v>
      </c>
    </row>
    <row r="50" spans="1:15" x14ac:dyDescent="0.4">
      <c r="A50" t="s">
        <v>96</v>
      </c>
      <c r="C50">
        <v>750</v>
      </c>
      <c r="D50">
        <v>12</v>
      </c>
      <c r="E50" s="1" t="s">
        <v>94</v>
      </c>
      <c r="F50">
        <v>490</v>
      </c>
      <c r="G50" s="2" t="s">
        <v>95</v>
      </c>
      <c r="H50" s="1" t="s">
        <v>102</v>
      </c>
      <c r="I50">
        <f>250*10</f>
        <v>2500</v>
      </c>
      <c r="K50" t="s">
        <v>98</v>
      </c>
    </row>
    <row r="51" spans="1:15" x14ac:dyDescent="0.4">
      <c r="A51" s="5" t="s">
        <v>89</v>
      </c>
      <c r="B51" s="5" t="s">
        <v>79</v>
      </c>
      <c r="C51" s="5" t="s">
        <v>90</v>
      </c>
      <c r="D51" s="22" t="s">
        <v>84</v>
      </c>
      <c r="E51" s="5" t="s">
        <v>72</v>
      </c>
      <c r="F51" s="5" t="s">
        <v>75</v>
      </c>
      <c r="G51" s="5" t="s">
        <v>80</v>
      </c>
      <c r="H51" s="10" t="s">
        <v>44</v>
      </c>
      <c r="I51" s="5" t="s">
        <v>81</v>
      </c>
      <c r="J51" s="15" t="s">
        <v>74</v>
      </c>
      <c r="K51" s="4" t="s">
        <v>73</v>
      </c>
      <c r="L51" s="4" t="s">
        <v>91</v>
      </c>
      <c r="M51" s="15" t="s">
        <v>100</v>
      </c>
      <c r="N51" s="4" t="s">
        <v>99</v>
      </c>
      <c r="O51" s="4" t="s">
        <v>101</v>
      </c>
    </row>
    <row r="52" spans="1:15" x14ac:dyDescent="0.4">
      <c r="A52" s="16">
        <v>4</v>
      </c>
      <c r="B52" s="5">
        <v>0.7</v>
      </c>
      <c r="C52" s="7">
        <f>10.5-0.7</f>
        <v>9.8000000000000007</v>
      </c>
      <c r="D52" s="6">
        <f t="shared" ref="D52:D60" si="1">(rho*grav*C52+25)*$G$5</f>
        <v>160.60388499999999</v>
      </c>
      <c r="E52" s="6">
        <v>1</v>
      </c>
      <c r="F52" s="5">
        <v>12</v>
      </c>
      <c r="G52" s="5">
        <v>355</v>
      </c>
      <c r="H52" s="5">
        <v>1.1499999999999999</v>
      </c>
      <c r="I52" s="6">
        <f>G52/H52</f>
        <v>308.69565217391306</v>
      </c>
      <c r="J52" s="5">
        <v>0</v>
      </c>
      <c r="K52" s="6">
        <f>I52-J52</f>
        <v>308.69565217391306</v>
      </c>
      <c r="L52" s="6">
        <f>A52^2*B52*D52/(F52*K52*E52)*10^3</f>
        <v>485.58169924882617</v>
      </c>
      <c r="M52" s="12"/>
      <c r="N52" s="23">
        <f>0.577*SQRT(I52^2-M52^2)</f>
        <v>178.11739130434782</v>
      </c>
      <c r="O52" s="23">
        <f>A52*B52*D52*10^3/(2*N52)</f>
        <v>1262.3441054995483</v>
      </c>
    </row>
    <row r="53" spans="1:15" x14ac:dyDescent="0.4">
      <c r="A53" s="16">
        <v>4</v>
      </c>
      <c r="B53" s="5">
        <v>0.7</v>
      </c>
      <c r="C53" s="7">
        <f>C52-0.7</f>
        <v>9.1000000000000014</v>
      </c>
      <c r="D53" s="6">
        <f t="shared" si="1"/>
        <v>151.4536075</v>
      </c>
      <c r="E53" s="6">
        <v>1</v>
      </c>
      <c r="F53" s="5">
        <v>12</v>
      </c>
      <c r="G53" s="5">
        <v>355</v>
      </c>
      <c r="H53" s="5">
        <v>1.1499999999999999</v>
      </c>
      <c r="I53" s="6">
        <f t="shared" ref="I53:I55" si="2">G53/H53</f>
        <v>308.69565217391306</v>
      </c>
      <c r="J53" s="5">
        <v>0</v>
      </c>
      <c r="K53" s="6">
        <f t="shared" ref="K53:K55" si="3">I53-J53</f>
        <v>308.69565217391306</v>
      </c>
      <c r="L53" s="6">
        <f t="shared" ref="L53:L60" si="4">A53^2*B53*D53/(F53*K53*E53)*10^3</f>
        <v>457.91607150234734</v>
      </c>
      <c r="M53" s="12"/>
      <c r="N53" s="23">
        <f t="shared" ref="N53:N60" si="5">0.577*SQRT(I53^2-M53^2)</f>
        <v>178.11739130434782</v>
      </c>
      <c r="O53" s="23">
        <f t="shared" ref="O53:O60" si="6">A53*B53*D53*10^3/(2*N53)</f>
        <v>1190.423062831059</v>
      </c>
    </row>
    <row r="54" spans="1:15" x14ac:dyDescent="0.4">
      <c r="A54" s="16">
        <v>4</v>
      </c>
      <c r="B54" s="5">
        <v>0.7</v>
      </c>
      <c r="C54" s="7">
        <f t="shared" ref="C54:C60" si="7">C53-0.7</f>
        <v>8.4000000000000021</v>
      </c>
      <c r="D54" s="6">
        <f t="shared" si="1"/>
        <v>142.30333000000002</v>
      </c>
      <c r="E54" s="6">
        <v>1</v>
      </c>
      <c r="F54" s="5">
        <v>12</v>
      </c>
      <c r="G54" s="5">
        <v>355</v>
      </c>
      <c r="H54" s="5">
        <v>1.1499999999999999</v>
      </c>
      <c r="I54" s="6">
        <f t="shared" si="2"/>
        <v>308.69565217391306</v>
      </c>
      <c r="J54" s="5">
        <v>0</v>
      </c>
      <c r="K54" s="6">
        <f t="shared" si="3"/>
        <v>308.69565217391306</v>
      </c>
      <c r="L54" s="6">
        <f t="shared" si="4"/>
        <v>430.25044375586856</v>
      </c>
      <c r="M54" s="12"/>
      <c r="N54" s="23">
        <f t="shared" si="5"/>
        <v>178.11739130434782</v>
      </c>
      <c r="O54" s="23">
        <f t="shared" si="6"/>
        <v>1118.50202016257</v>
      </c>
    </row>
    <row r="55" spans="1:15" x14ac:dyDescent="0.4">
      <c r="A55" s="16">
        <v>4</v>
      </c>
      <c r="B55" s="5">
        <v>0.7</v>
      </c>
      <c r="C55" s="7">
        <f t="shared" si="7"/>
        <v>7.700000000000002</v>
      </c>
      <c r="D55" s="6">
        <f t="shared" si="1"/>
        <v>133.15305250000003</v>
      </c>
      <c r="E55" s="6">
        <v>1</v>
      </c>
      <c r="F55" s="5">
        <v>12</v>
      </c>
      <c r="G55" s="5">
        <v>355</v>
      </c>
      <c r="H55" s="5">
        <v>1.1499999999999999</v>
      </c>
      <c r="I55" s="6">
        <f t="shared" si="2"/>
        <v>308.69565217391306</v>
      </c>
      <c r="J55" s="5">
        <v>0</v>
      </c>
      <c r="K55" s="6">
        <f t="shared" si="3"/>
        <v>308.69565217391306</v>
      </c>
      <c r="L55" s="6">
        <f t="shared" si="4"/>
        <v>402.58481600938973</v>
      </c>
      <c r="M55" s="12"/>
      <c r="N55" s="23">
        <f t="shared" si="5"/>
        <v>178.11739130434782</v>
      </c>
      <c r="O55" s="23">
        <f t="shared" si="6"/>
        <v>1046.5809774940808</v>
      </c>
    </row>
    <row r="56" spans="1:15" x14ac:dyDescent="0.4">
      <c r="A56" s="16">
        <v>4</v>
      </c>
      <c r="B56" s="5">
        <v>0.7</v>
      </c>
      <c r="C56" s="7">
        <f t="shared" si="7"/>
        <v>7.0000000000000018</v>
      </c>
      <c r="D56" s="6">
        <f t="shared" si="1"/>
        <v>124.00277500000001</v>
      </c>
      <c r="E56" s="6">
        <v>1</v>
      </c>
      <c r="F56" s="5">
        <v>12</v>
      </c>
      <c r="G56" s="5">
        <v>355</v>
      </c>
      <c r="H56" s="5">
        <v>1.1499999999999999</v>
      </c>
      <c r="I56" s="6">
        <f t="shared" ref="I56:I60" si="8">G56/H56</f>
        <v>308.69565217391306</v>
      </c>
      <c r="J56" s="5">
        <v>0</v>
      </c>
      <c r="K56" s="6">
        <f t="shared" ref="K56:K60" si="9">I56-J56</f>
        <v>308.69565217391306</v>
      </c>
      <c r="L56" s="6">
        <f t="shared" si="4"/>
        <v>374.91918826291084</v>
      </c>
      <c r="M56" s="12"/>
      <c r="N56" s="23">
        <f t="shared" si="5"/>
        <v>178.11739130434782</v>
      </c>
      <c r="O56" s="23">
        <f t="shared" si="6"/>
        <v>974.65993482559145</v>
      </c>
    </row>
    <row r="57" spans="1:15" x14ac:dyDescent="0.4">
      <c r="A57" s="16">
        <v>4</v>
      </c>
      <c r="B57" s="5">
        <v>0.7</v>
      </c>
      <c r="C57" s="7">
        <f t="shared" si="7"/>
        <v>6.3000000000000016</v>
      </c>
      <c r="D57" s="6">
        <f t="shared" si="1"/>
        <v>114.85249750000001</v>
      </c>
      <c r="E57" s="6">
        <v>1</v>
      </c>
      <c r="F57" s="5">
        <v>12</v>
      </c>
      <c r="G57" s="5">
        <v>355</v>
      </c>
      <c r="H57" s="5">
        <v>1.1499999999999999</v>
      </c>
      <c r="I57" s="6">
        <f t="shared" si="8"/>
        <v>308.69565217391306</v>
      </c>
      <c r="J57" s="5">
        <v>0</v>
      </c>
      <c r="K57" s="6">
        <f t="shared" si="9"/>
        <v>308.69565217391306</v>
      </c>
      <c r="L57" s="6">
        <f t="shared" si="4"/>
        <v>347.25356051643189</v>
      </c>
      <c r="M57" s="12"/>
      <c r="N57" s="23">
        <f t="shared" si="5"/>
        <v>178.11739130434782</v>
      </c>
      <c r="O57" s="23">
        <f t="shared" si="6"/>
        <v>902.7388921571021</v>
      </c>
    </row>
    <row r="58" spans="1:15" x14ac:dyDescent="0.4">
      <c r="A58" s="16">
        <v>4</v>
      </c>
      <c r="B58" s="5">
        <v>0.7</v>
      </c>
      <c r="C58" s="7">
        <f t="shared" si="7"/>
        <v>5.6000000000000014</v>
      </c>
      <c r="D58" s="6">
        <f t="shared" si="1"/>
        <v>105.70222000000001</v>
      </c>
      <c r="E58" s="6">
        <v>1</v>
      </c>
      <c r="F58" s="5">
        <v>12</v>
      </c>
      <c r="G58" s="5">
        <v>355</v>
      </c>
      <c r="H58" s="5">
        <v>1.1499999999999999</v>
      </c>
      <c r="I58" s="6">
        <f t="shared" si="8"/>
        <v>308.69565217391306</v>
      </c>
      <c r="J58" s="5">
        <v>0</v>
      </c>
      <c r="K58" s="6">
        <f t="shared" si="9"/>
        <v>308.69565217391306</v>
      </c>
      <c r="L58" s="6">
        <f t="shared" si="4"/>
        <v>319.58793276995306</v>
      </c>
      <c r="M58" s="12"/>
      <c r="N58" s="23">
        <f t="shared" si="5"/>
        <v>178.11739130434782</v>
      </c>
      <c r="O58" s="23">
        <f t="shared" si="6"/>
        <v>830.81784948861286</v>
      </c>
    </row>
    <row r="59" spans="1:15" x14ac:dyDescent="0.4">
      <c r="A59" s="16">
        <v>4</v>
      </c>
      <c r="B59" s="5">
        <v>0.7</v>
      </c>
      <c r="C59" s="7">
        <f t="shared" si="7"/>
        <v>4.9000000000000012</v>
      </c>
      <c r="D59" s="6">
        <f t="shared" si="1"/>
        <v>96.551942499999996</v>
      </c>
      <c r="E59" s="6">
        <v>1</v>
      </c>
      <c r="F59" s="5">
        <v>12</v>
      </c>
      <c r="G59" s="5">
        <v>355</v>
      </c>
      <c r="H59" s="5">
        <v>1.1499999999999999</v>
      </c>
      <c r="I59" s="6">
        <f t="shared" si="8"/>
        <v>308.69565217391306</v>
      </c>
      <c r="J59" s="5">
        <v>0</v>
      </c>
      <c r="K59" s="6">
        <f t="shared" si="9"/>
        <v>308.69565217391306</v>
      </c>
      <c r="L59" s="6">
        <f t="shared" si="4"/>
        <v>291.92230502347411</v>
      </c>
      <c r="M59" s="12"/>
      <c r="N59" s="23">
        <f t="shared" si="5"/>
        <v>178.11739130434782</v>
      </c>
      <c r="O59" s="23">
        <f t="shared" si="6"/>
        <v>758.8968068201234</v>
      </c>
    </row>
    <row r="60" spans="1:15" x14ac:dyDescent="0.4">
      <c r="A60" s="16">
        <v>4</v>
      </c>
      <c r="B60" s="5">
        <v>0.7</v>
      </c>
      <c r="C60" s="7">
        <f t="shared" si="7"/>
        <v>4.2000000000000011</v>
      </c>
      <c r="D60" s="6">
        <f t="shared" si="1"/>
        <v>87.401665000000023</v>
      </c>
      <c r="E60" s="6">
        <v>1</v>
      </c>
      <c r="F60" s="5">
        <v>12</v>
      </c>
      <c r="G60" s="5">
        <v>355</v>
      </c>
      <c r="H60" s="5">
        <v>1.1499999999999999</v>
      </c>
      <c r="I60" s="6">
        <f t="shared" si="8"/>
        <v>308.69565217391306</v>
      </c>
      <c r="J60" s="5">
        <v>0</v>
      </c>
      <c r="K60" s="6">
        <f t="shared" si="9"/>
        <v>308.69565217391306</v>
      </c>
      <c r="L60" s="6">
        <f t="shared" si="4"/>
        <v>264.25667727699533</v>
      </c>
      <c r="M60" s="12"/>
      <c r="N60" s="23">
        <f t="shared" si="5"/>
        <v>178.11739130434782</v>
      </c>
      <c r="O60" s="23">
        <f t="shared" si="6"/>
        <v>686.97576415163439</v>
      </c>
    </row>
    <row r="62" spans="1:15" x14ac:dyDescent="0.4">
      <c r="A62" s="8" t="s">
        <v>103</v>
      </c>
    </row>
    <row r="76" spans="18:18" x14ac:dyDescent="0.4">
      <c r="R76" s="13"/>
    </row>
    <row r="77" spans="18:18" x14ac:dyDescent="0.4">
      <c r="R77" s="13"/>
    </row>
    <row r="78" spans="18:18" x14ac:dyDescent="0.4">
      <c r="R78" s="13"/>
    </row>
  </sheetData>
  <phoneticPr fontId="1" type="noConversion"/>
  <dataValidations disablePrompts="1" count="1">
    <dataValidation type="list" allowBlank="1" showInputMessage="1" showErrorMessage="1" sqref="D13 D19" xr:uid="{E57C0F46-2864-4D5F-89A0-5EB8CF051FF3}">
      <formula1>#REF!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A668-5452-485E-B89A-95E7D66DD8A3}">
  <sheetPr codeName="Sheet5"/>
  <dimension ref="A1:R483"/>
  <sheetViews>
    <sheetView zoomScale="130" zoomScaleNormal="130" workbookViewId="0">
      <selection activeCell="I51" sqref="I51"/>
    </sheetView>
  </sheetViews>
  <sheetFormatPr defaultColWidth="0" defaultRowHeight="12" customHeight="1" x14ac:dyDescent="0.4"/>
  <cols>
    <col min="1" max="12" width="6.59765625" style="26" customWidth="1"/>
    <col min="13" max="18" width="0" style="26" hidden="1" customWidth="1"/>
    <col min="19" max="16384" width="6.59765625" style="26" hidden="1"/>
  </cols>
  <sheetData>
    <row r="1" spans="1:12" ht="12" customHeight="1" x14ac:dyDescent="0.4">
      <c r="A1" s="27"/>
      <c r="B1" s="27"/>
      <c r="C1" s="27"/>
      <c r="D1" s="27"/>
    </row>
    <row r="2" spans="1:12" ht="12" customHeight="1" x14ac:dyDescent="0.4">
      <c r="A2" s="27"/>
      <c r="B2" s="27"/>
      <c r="C2" s="27"/>
      <c r="D2" s="27"/>
    </row>
    <row r="3" spans="1:12" ht="12" customHeight="1" x14ac:dyDescent="0.4">
      <c r="A3" s="27"/>
      <c r="B3" s="27"/>
      <c r="C3" s="27"/>
      <c r="D3" s="27"/>
    </row>
    <row r="4" spans="1:12" ht="12" customHeight="1" x14ac:dyDescent="0.4">
      <c r="A4" s="27"/>
      <c r="B4" s="27"/>
      <c r="C4" s="27"/>
      <c r="D4" s="27"/>
      <c r="E4" s="110"/>
      <c r="F4" s="110"/>
      <c r="G4" s="110"/>
      <c r="H4" s="110"/>
      <c r="I4" s="110"/>
      <c r="J4" s="110"/>
      <c r="K4" s="110"/>
      <c r="L4" s="110"/>
    </row>
    <row r="5" spans="1:12" ht="12" customHeight="1" x14ac:dyDescent="0.4">
      <c r="A5" s="27"/>
      <c r="B5" s="27"/>
      <c r="C5" s="27"/>
      <c r="D5" s="27"/>
      <c r="E5" s="110"/>
      <c r="F5" s="110"/>
      <c r="G5" s="110"/>
      <c r="H5" s="110"/>
      <c r="I5" s="110"/>
      <c r="J5" s="110"/>
      <c r="K5" s="110"/>
      <c r="L5" s="110"/>
    </row>
    <row r="7" spans="1:12" ht="12" customHeight="1" x14ac:dyDescent="0.4">
      <c r="A7" s="28" t="s">
        <v>105</v>
      </c>
      <c r="C7" s="81" t="s">
        <v>144</v>
      </c>
      <c r="D7" s="81"/>
      <c r="E7" s="81"/>
      <c r="F7" s="81"/>
      <c r="G7" s="81"/>
      <c r="H7" s="81"/>
      <c r="I7" s="81"/>
      <c r="J7" s="81"/>
      <c r="K7" s="81"/>
      <c r="L7" s="69"/>
    </row>
    <row r="8" spans="1:12" s="40" customFormat="1" ht="12" customHeight="1" x14ac:dyDescent="0.4">
      <c r="A8" s="40" t="s">
        <v>107</v>
      </c>
      <c r="C8" s="41" t="s">
        <v>106</v>
      </c>
      <c r="D8" s="41"/>
      <c r="E8" s="53">
        <v>0</v>
      </c>
      <c r="F8" s="42" t="s">
        <v>21</v>
      </c>
    </row>
    <row r="9" spans="1:12" s="40" customFormat="1" ht="12" customHeight="1" x14ac:dyDescent="0.4">
      <c r="C9" s="41"/>
      <c r="D9" s="43" t="s">
        <v>122</v>
      </c>
      <c r="E9" s="39">
        <v>1.3</v>
      </c>
      <c r="F9" s="42"/>
    </row>
    <row r="10" spans="1:12" s="40" customFormat="1" ht="12" customHeight="1" x14ac:dyDescent="0.4">
      <c r="D10" s="39" t="s">
        <v>32</v>
      </c>
      <c r="E10" s="44">
        <f>(1.025*9.81*E8+25)*E9</f>
        <v>32.5</v>
      </c>
      <c r="F10" s="40" t="s">
        <v>123</v>
      </c>
    </row>
    <row r="11" spans="1:12" s="40" customFormat="1" ht="12" customHeight="1" x14ac:dyDescent="0.4">
      <c r="D11" s="39"/>
      <c r="E11" s="44"/>
    </row>
    <row r="12" spans="1:12" s="40" customFormat="1" ht="12" customHeight="1" x14ac:dyDescent="0.4">
      <c r="A12" s="40" t="s">
        <v>109</v>
      </c>
      <c r="E12" s="50" t="s">
        <v>113</v>
      </c>
    </row>
    <row r="13" spans="1:12" s="40" customFormat="1" ht="12" customHeight="1" x14ac:dyDescent="0.4">
      <c r="A13" s="40" t="s">
        <v>132</v>
      </c>
      <c r="E13" s="39">
        <f>VLOOKUP(E12,Front!E3:H7,2,FALSE)</f>
        <v>355</v>
      </c>
    </row>
    <row r="14" spans="1:12" s="40" customFormat="1" ht="12" customHeight="1" x14ac:dyDescent="0.4">
      <c r="A14" s="40" t="s">
        <v>120</v>
      </c>
      <c r="B14" s="41"/>
      <c r="C14" s="41">
        <v>160</v>
      </c>
      <c r="D14" s="41" t="s">
        <v>108</v>
      </c>
      <c r="E14" s="45">
        <f>C14*VLOOKUP(E12,Front!E3:H7,3,FALSE)</f>
        <v>222.39999999999998</v>
      </c>
      <c r="F14" s="40" t="s">
        <v>124</v>
      </c>
    </row>
    <row r="15" spans="1:12" s="40" customFormat="1" ht="12" customHeight="1" x14ac:dyDescent="0.4">
      <c r="D15" s="46" t="s">
        <v>125</v>
      </c>
      <c r="E15" s="39">
        <v>1.1499999999999999</v>
      </c>
    </row>
    <row r="16" spans="1:12" s="40" customFormat="1" ht="12" customHeight="1" x14ac:dyDescent="0.4">
      <c r="D16" s="40" t="s">
        <v>116</v>
      </c>
      <c r="E16" s="47">
        <v>1</v>
      </c>
    </row>
    <row r="17" spans="1:12" s="40" customFormat="1" ht="12" customHeight="1" x14ac:dyDescent="0.4"/>
    <row r="18" spans="1:12" s="40" customFormat="1" ht="12" customHeight="1" x14ac:dyDescent="0.4">
      <c r="D18" s="41" t="s">
        <v>119</v>
      </c>
      <c r="E18" s="51">
        <v>0.75</v>
      </c>
      <c r="F18" s="42" t="s">
        <v>21</v>
      </c>
    </row>
    <row r="19" spans="1:12" s="40" customFormat="1" ht="12" customHeight="1" x14ac:dyDescent="0.4">
      <c r="D19" s="41" t="s">
        <v>118</v>
      </c>
      <c r="E19" s="51">
        <v>4.9000000000000004</v>
      </c>
      <c r="F19" s="42" t="s">
        <v>21</v>
      </c>
    </row>
    <row r="20" spans="1:12" s="40" customFormat="1" ht="12" customHeight="1" x14ac:dyDescent="0.4">
      <c r="D20" s="41" t="s">
        <v>117</v>
      </c>
      <c r="E20" s="48">
        <f>MIN((1.1-0.25*E18/E19)^2, 1)</f>
        <v>1</v>
      </c>
    </row>
    <row r="21" spans="1:12" s="40" customFormat="1" ht="12" customHeight="1" x14ac:dyDescent="0.4">
      <c r="D21" s="40" t="s">
        <v>138</v>
      </c>
      <c r="E21" s="80">
        <v>1</v>
      </c>
    </row>
    <row r="22" spans="1:12" s="40" customFormat="1" ht="12" customHeight="1" x14ac:dyDescent="0.4">
      <c r="I22" s="49">
        <v>8</v>
      </c>
    </row>
    <row r="23" spans="1:12" s="40" customFormat="1" ht="12" customHeight="1" x14ac:dyDescent="0.4"/>
    <row r="24" spans="1:12" ht="12" customHeight="1" x14ac:dyDescent="0.4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</row>
    <row r="25" spans="1:12" s="69" customFormat="1" ht="15" customHeight="1" x14ac:dyDescent="0.4">
      <c r="A25" s="32">
        <v>1</v>
      </c>
      <c r="B25" s="79" t="s">
        <v>140</v>
      </c>
      <c r="C25" s="72"/>
      <c r="D25" s="72"/>
      <c r="E25" s="72"/>
      <c r="F25" s="72"/>
      <c r="G25" s="72"/>
      <c r="H25" s="72"/>
      <c r="I25" s="72"/>
      <c r="J25" s="72"/>
      <c r="K25" s="72"/>
      <c r="L25" s="73"/>
    </row>
    <row r="26" spans="1:12" s="69" customFormat="1" ht="15" customHeight="1" x14ac:dyDescent="0.4">
      <c r="A26" s="62" t="s">
        <v>43</v>
      </c>
      <c r="B26" s="74" t="s">
        <v>133</v>
      </c>
      <c r="C26" s="74" t="s">
        <v>134</v>
      </c>
      <c r="D26" s="53" t="s">
        <v>42</v>
      </c>
      <c r="E26" s="78" t="s">
        <v>122</v>
      </c>
      <c r="F26" s="53" t="s">
        <v>32</v>
      </c>
      <c r="G26" s="53" t="s">
        <v>135</v>
      </c>
      <c r="H26" s="53" t="s">
        <v>136</v>
      </c>
      <c r="I26" s="53" t="s">
        <v>40</v>
      </c>
      <c r="J26" s="53" t="s">
        <v>137</v>
      </c>
      <c r="K26" s="53" t="s">
        <v>131</v>
      </c>
      <c r="L26" s="70" t="s">
        <v>128</v>
      </c>
    </row>
    <row r="27" spans="1:12" s="69" customFormat="1" ht="15" customHeight="1" x14ac:dyDescent="0.4">
      <c r="A27" s="77">
        <v>355</v>
      </c>
      <c r="B27" s="75">
        <v>1.1499999999999999</v>
      </c>
      <c r="C27" s="71">
        <v>222.39999999999998</v>
      </c>
      <c r="D27" s="75">
        <v>1</v>
      </c>
      <c r="E27" s="75">
        <v>1.3</v>
      </c>
      <c r="F27" s="71">
        <v>169.75416250000001</v>
      </c>
      <c r="G27" s="75">
        <v>0.75</v>
      </c>
      <c r="H27" s="75">
        <v>4</v>
      </c>
      <c r="I27" s="75">
        <v>1</v>
      </c>
      <c r="J27" s="75">
        <v>1</v>
      </c>
      <c r="K27" s="75">
        <v>5.8168201951838423</v>
      </c>
      <c r="L27" s="76">
        <v>11.352879878518342</v>
      </c>
    </row>
    <row r="28" spans="1:12" s="69" customFormat="1" ht="15" customHeight="1" x14ac:dyDescent="0.4">
      <c r="A28" s="32">
        <v>2</v>
      </c>
      <c r="B28" s="79" t="s">
        <v>139</v>
      </c>
      <c r="C28" s="72"/>
      <c r="D28" s="72"/>
      <c r="E28" s="72"/>
      <c r="F28" s="72"/>
      <c r="G28" s="72"/>
      <c r="H28" s="72"/>
      <c r="I28" s="72"/>
      <c r="J28" s="72"/>
      <c r="K28" s="72"/>
      <c r="L28" s="73"/>
    </row>
    <row r="29" spans="1:12" s="69" customFormat="1" ht="15" customHeight="1" x14ac:dyDescent="0.4">
      <c r="A29" s="62" t="s">
        <v>43</v>
      </c>
      <c r="B29" s="74" t="s">
        <v>133</v>
      </c>
      <c r="C29" s="74" t="s">
        <v>134</v>
      </c>
      <c r="D29" s="53" t="s">
        <v>42</v>
      </c>
      <c r="E29" s="78" t="s">
        <v>122</v>
      </c>
      <c r="F29" s="53" t="s">
        <v>32</v>
      </c>
      <c r="G29" s="53" t="s">
        <v>135</v>
      </c>
      <c r="H29" s="53" t="s">
        <v>136</v>
      </c>
      <c r="I29" s="53" t="s">
        <v>40</v>
      </c>
      <c r="J29" s="53" t="s">
        <v>137</v>
      </c>
      <c r="K29" s="53" t="s">
        <v>131</v>
      </c>
      <c r="L29" s="70" t="s">
        <v>128</v>
      </c>
    </row>
    <row r="30" spans="1:12" s="69" customFormat="1" ht="15" customHeight="1" x14ac:dyDescent="0.4">
      <c r="A30" s="77">
        <v>355</v>
      </c>
      <c r="B30" s="75">
        <v>1.1499999999999999</v>
      </c>
      <c r="C30" s="71">
        <v>222.39999999999998</v>
      </c>
      <c r="D30" s="75">
        <v>1</v>
      </c>
      <c r="E30" s="75">
        <v>1.3</v>
      </c>
      <c r="F30" s="71">
        <v>169.75416250000001</v>
      </c>
      <c r="G30" s="75">
        <v>0.75</v>
      </c>
      <c r="H30" s="75">
        <v>4</v>
      </c>
      <c r="I30" s="75">
        <v>1</v>
      </c>
      <c r="J30" s="75">
        <v>1</v>
      </c>
      <c r="K30" s="75">
        <v>5.8168201951838423</v>
      </c>
      <c r="L30" s="76">
        <v>11.352879878518342</v>
      </c>
    </row>
    <row r="31" spans="1:12" s="69" customFormat="1" ht="15" customHeight="1" x14ac:dyDescent="0.4">
      <c r="A31" s="32">
        <v>3</v>
      </c>
      <c r="B31" s="79" t="s">
        <v>141</v>
      </c>
      <c r="C31" s="72"/>
      <c r="D31" s="72"/>
      <c r="E31" s="72"/>
      <c r="F31" s="72"/>
      <c r="G31" s="72"/>
      <c r="H31" s="72"/>
      <c r="I31" s="72"/>
      <c r="J31" s="72"/>
      <c r="K31" s="72"/>
      <c r="L31" s="73"/>
    </row>
    <row r="32" spans="1:12" s="69" customFormat="1" ht="15" customHeight="1" x14ac:dyDescent="0.4">
      <c r="A32" s="62" t="s">
        <v>43</v>
      </c>
      <c r="B32" s="74" t="s">
        <v>133</v>
      </c>
      <c r="C32" s="74" t="s">
        <v>134</v>
      </c>
      <c r="D32" s="53" t="s">
        <v>42</v>
      </c>
      <c r="E32" s="78" t="s">
        <v>122</v>
      </c>
      <c r="F32" s="53" t="s">
        <v>32</v>
      </c>
      <c r="G32" s="53" t="s">
        <v>135</v>
      </c>
      <c r="H32" s="53" t="s">
        <v>136</v>
      </c>
      <c r="I32" s="53" t="s">
        <v>40</v>
      </c>
      <c r="J32" s="53" t="s">
        <v>137</v>
      </c>
      <c r="K32" s="53" t="s">
        <v>131</v>
      </c>
      <c r="L32" s="70" t="s">
        <v>128</v>
      </c>
    </row>
    <row r="33" spans="1:12" s="69" customFormat="1" ht="15" customHeight="1" x14ac:dyDescent="0.4">
      <c r="A33" s="77">
        <v>355</v>
      </c>
      <c r="B33" s="75">
        <v>1.1499999999999999</v>
      </c>
      <c r="C33" s="71">
        <v>222.39999999999998</v>
      </c>
      <c r="D33" s="75">
        <v>1</v>
      </c>
      <c r="E33" s="75">
        <v>1.3</v>
      </c>
      <c r="F33" s="71">
        <v>169.75416250000001</v>
      </c>
      <c r="G33" s="75">
        <v>0.7</v>
      </c>
      <c r="H33" s="75">
        <v>4.1520000000000001</v>
      </c>
      <c r="I33" s="75">
        <v>1</v>
      </c>
      <c r="J33" s="75">
        <v>1</v>
      </c>
      <c r="K33" s="75">
        <v>5.8168201951838423</v>
      </c>
      <c r="L33" s="76">
        <v>10.662687886617118</v>
      </c>
    </row>
    <row r="34" spans="1:12" s="69" customFormat="1" ht="15" customHeight="1" x14ac:dyDescent="0.4">
      <c r="A34" s="32">
        <v>4</v>
      </c>
      <c r="B34" s="79" t="s">
        <v>141</v>
      </c>
      <c r="C34" s="72"/>
      <c r="D34" s="72"/>
      <c r="E34" s="72"/>
      <c r="F34" s="72"/>
      <c r="G34" s="72"/>
      <c r="H34" s="72"/>
      <c r="I34" s="72"/>
      <c r="J34" s="72"/>
      <c r="K34" s="72"/>
      <c r="L34" s="73"/>
    </row>
    <row r="35" spans="1:12" ht="15" customHeight="1" x14ac:dyDescent="0.4">
      <c r="A35" s="62" t="s">
        <v>43</v>
      </c>
      <c r="B35" s="74" t="s">
        <v>133</v>
      </c>
      <c r="C35" s="74" t="s">
        <v>134</v>
      </c>
      <c r="D35" s="53" t="s">
        <v>42</v>
      </c>
      <c r="E35" s="78" t="s">
        <v>122</v>
      </c>
      <c r="F35" s="53" t="s">
        <v>32</v>
      </c>
      <c r="G35" s="53" t="s">
        <v>135</v>
      </c>
      <c r="H35" s="53" t="s">
        <v>136</v>
      </c>
      <c r="I35" s="53" t="s">
        <v>40</v>
      </c>
      <c r="J35" s="53" t="s">
        <v>137</v>
      </c>
      <c r="K35" s="53" t="s">
        <v>131</v>
      </c>
      <c r="L35" s="70" t="s">
        <v>128</v>
      </c>
    </row>
    <row r="36" spans="1:12" ht="15" customHeight="1" x14ac:dyDescent="0.4">
      <c r="A36" s="77">
        <v>355</v>
      </c>
      <c r="B36" s="75">
        <v>1.1499999999999999</v>
      </c>
      <c r="C36" s="71">
        <v>222.39999999999998</v>
      </c>
      <c r="D36" s="75">
        <v>1</v>
      </c>
      <c r="E36" s="75">
        <v>1.3</v>
      </c>
      <c r="F36" s="71">
        <v>131.84586999999999</v>
      </c>
      <c r="G36" s="75">
        <v>0.7</v>
      </c>
      <c r="H36" s="75">
        <v>4.1520000000000001</v>
      </c>
      <c r="I36" s="75">
        <v>1</v>
      </c>
      <c r="J36" s="75">
        <v>1</v>
      </c>
      <c r="K36" s="75">
        <v>5.8168201951838423</v>
      </c>
      <c r="L36" s="76">
        <v>9.5157126945275365</v>
      </c>
    </row>
    <row r="37" spans="1:12" ht="15" customHeight="1" x14ac:dyDescent="0.4">
      <c r="A37" s="32">
        <v>5</v>
      </c>
      <c r="B37" s="79" t="s">
        <v>141</v>
      </c>
      <c r="C37" s="72"/>
      <c r="D37" s="72"/>
      <c r="E37" s="72"/>
      <c r="F37" s="72"/>
      <c r="G37" s="72"/>
      <c r="H37" s="72"/>
      <c r="I37" s="72"/>
      <c r="J37" s="72"/>
      <c r="K37" s="72"/>
      <c r="L37" s="73"/>
    </row>
    <row r="38" spans="1:12" ht="15" customHeight="1" x14ac:dyDescent="0.4">
      <c r="A38" s="62" t="s">
        <v>43</v>
      </c>
      <c r="B38" s="74" t="s">
        <v>133</v>
      </c>
      <c r="C38" s="74" t="s">
        <v>134</v>
      </c>
      <c r="D38" s="53" t="s">
        <v>42</v>
      </c>
      <c r="E38" s="78" t="s">
        <v>122</v>
      </c>
      <c r="F38" s="53" t="s">
        <v>32</v>
      </c>
      <c r="G38" s="53" t="s">
        <v>135</v>
      </c>
      <c r="H38" s="53" t="s">
        <v>136</v>
      </c>
      <c r="I38" s="53" t="s">
        <v>40</v>
      </c>
      <c r="J38" s="53" t="s">
        <v>137</v>
      </c>
      <c r="K38" s="53" t="s">
        <v>131</v>
      </c>
      <c r="L38" s="70" t="s">
        <v>128</v>
      </c>
    </row>
    <row r="39" spans="1:12" ht="15" customHeight="1" x14ac:dyDescent="0.4">
      <c r="A39" s="77">
        <v>355</v>
      </c>
      <c r="B39" s="75">
        <v>1.1499999999999999</v>
      </c>
      <c r="C39" s="71">
        <v>222.39999999999998</v>
      </c>
      <c r="D39" s="75">
        <v>1</v>
      </c>
      <c r="E39" s="75">
        <v>1.3</v>
      </c>
      <c r="F39" s="71">
        <v>93.937577499999989</v>
      </c>
      <c r="G39" s="75">
        <v>0.7</v>
      </c>
      <c r="H39" s="75">
        <v>4.1520000000000001</v>
      </c>
      <c r="I39" s="75">
        <v>1</v>
      </c>
      <c r="J39" s="75">
        <v>1</v>
      </c>
      <c r="K39" s="75">
        <v>5.8168201951838423</v>
      </c>
      <c r="L39" s="76">
        <v>8.1879891622968977</v>
      </c>
    </row>
    <row r="40" spans="1:12" ht="15" customHeight="1" x14ac:dyDescent="0.4">
      <c r="A40" s="32">
        <v>6</v>
      </c>
      <c r="B40" s="79" t="s">
        <v>142</v>
      </c>
      <c r="C40" s="72"/>
      <c r="D40" s="72"/>
      <c r="E40" s="72"/>
      <c r="F40" s="72"/>
      <c r="G40" s="72"/>
      <c r="H40" s="72"/>
      <c r="I40" s="72"/>
      <c r="J40" s="72"/>
      <c r="K40" s="72"/>
      <c r="L40" s="73"/>
    </row>
    <row r="41" spans="1:12" ht="15" customHeight="1" x14ac:dyDescent="0.4">
      <c r="A41" s="62" t="s">
        <v>43</v>
      </c>
      <c r="B41" s="74" t="s">
        <v>133</v>
      </c>
      <c r="C41" s="74" t="s">
        <v>134</v>
      </c>
      <c r="D41" s="53" t="s">
        <v>42</v>
      </c>
      <c r="E41" s="78" t="s">
        <v>122</v>
      </c>
      <c r="F41" s="53" t="s">
        <v>32</v>
      </c>
      <c r="G41" s="53" t="s">
        <v>135</v>
      </c>
      <c r="H41" s="53" t="s">
        <v>136</v>
      </c>
      <c r="I41" s="53" t="s">
        <v>40</v>
      </c>
      <c r="J41" s="53" t="s">
        <v>137</v>
      </c>
      <c r="K41" s="53" t="s">
        <v>131</v>
      </c>
      <c r="L41" s="70" t="s">
        <v>128</v>
      </c>
    </row>
    <row r="42" spans="1:12" ht="15" customHeight="1" x14ac:dyDescent="0.4">
      <c r="A42" s="77">
        <v>355</v>
      </c>
      <c r="B42" s="75">
        <v>1.1499999999999999</v>
      </c>
      <c r="C42" s="71">
        <v>222.39999999999998</v>
      </c>
      <c r="D42" s="75">
        <v>1</v>
      </c>
      <c r="E42" s="75">
        <v>1.3</v>
      </c>
      <c r="F42" s="71">
        <v>169.75416250000001</v>
      </c>
      <c r="G42" s="75">
        <v>0.75</v>
      </c>
      <c r="H42" s="75">
        <v>5.6</v>
      </c>
      <c r="I42" s="75">
        <v>1</v>
      </c>
      <c r="J42" s="75">
        <v>2</v>
      </c>
      <c r="K42" s="75">
        <v>5.8168201951838423</v>
      </c>
      <c r="L42" s="76">
        <v>12.352879878518342</v>
      </c>
    </row>
    <row r="43" spans="1:12" ht="15" customHeight="1" x14ac:dyDescent="0.4">
      <c r="A43" s="32">
        <v>7</v>
      </c>
      <c r="B43" s="79" t="s">
        <v>143</v>
      </c>
      <c r="C43" s="72"/>
      <c r="D43" s="72"/>
      <c r="E43" s="72"/>
      <c r="F43" s="72"/>
      <c r="G43" s="72"/>
      <c r="H43" s="72"/>
      <c r="I43" s="72"/>
      <c r="J43" s="72"/>
      <c r="K43" s="72"/>
      <c r="L43" s="73"/>
    </row>
    <row r="44" spans="1:12" ht="15" customHeight="1" x14ac:dyDescent="0.4">
      <c r="A44" s="62" t="s">
        <v>43</v>
      </c>
      <c r="B44" s="74" t="s">
        <v>133</v>
      </c>
      <c r="C44" s="74" t="s">
        <v>134</v>
      </c>
      <c r="D44" s="53" t="s">
        <v>42</v>
      </c>
      <c r="E44" s="78" t="s">
        <v>122</v>
      </c>
      <c r="F44" s="53" t="s">
        <v>32</v>
      </c>
      <c r="G44" s="53" t="s">
        <v>135</v>
      </c>
      <c r="H44" s="53" t="s">
        <v>136</v>
      </c>
      <c r="I44" s="53" t="s">
        <v>40</v>
      </c>
      <c r="J44" s="53" t="s">
        <v>137</v>
      </c>
      <c r="K44" s="53" t="s">
        <v>131</v>
      </c>
      <c r="L44" s="70" t="s">
        <v>128</v>
      </c>
    </row>
    <row r="45" spans="1:12" ht="15" customHeight="1" x14ac:dyDescent="0.4">
      <c r="A45" s="77">
        <v>355</v>
      </c>
      <c r="B45" s="75">
        <v>1.1499999999999999</v>
      </c>
      <c r="C45" s="71">
        <v>222.39999999999998</v>
      </c>
      <c r="D45" s="75">
        <v>1</v>
      </c>
      <c r="E45" s="75">
        <v>1.3</v>
      </c>
      <c r="F45" s="71">
        <v>124.002775</v>
      </c>
      <c r="G45" s="75">
        <v>0.75</v>
      </c>
      <c r="H45" s="75">
        <v>4.9000000000000004</v>
      </c>
      <c r="I45" s="75">
        <v>1</v>
      </c>
      <c r="J45" s="75">
        <v>2</v>
      </c>
      <c r="K45" s="75">
        <v>5.8168201951838423</v>
      </c>
      <c r="L45" s="76">
        <v>10.848438993848941</v>
      </c>
    </row>
    <row r="46" spans="1:12" ht="15" customHeight="1" x14ac:dyDescent="0.4">
      <c r="A46" s="32">
        <v>8</v>
      </c>
      <c r="B46" s="79" t="s">
        <v>144</v>
      </c>
      <c r="C46" s="72"/>
      <c r="D46" s="72"/>
      <c r="E46" s="72"/>
      <c r="F46" s="72"/>
      <c r="G46" s="72"/>
      <c r="H46" s="72"/>
      <c r="I46" s="72"/>
      <c r="J46" s="72"/>
      <c r="K46" s="72"/>
      <c r="L46" s="73"/>
    </row>
    <row r="47" spans="1:12" ht="15" customHeight="1" x14ac:dyDescent="0.4">
      <c r="A47" s="62" t="s">
        <v>43</v>
      </c>
      <c r="B47" s="74" t="s">
        <v>133</v>
      </c>
      <c r="C47" s="74" t="s">
        <v>134</v>
      </c>
      <c r="D47" s="53" t="s">
        <v>42</v>
      </c>
      <c r="E47" s="78" t="s">
        <v>122</v>
      </c>
      <c r="F47" s="53" t="s">
        <v>32</v>
      </c>
      <c r="G47" s="53" t="s">
        <v>135</v>
      </c>
      <c r="H47" s="53" t="s">
        <v>136</v>
      </c>
      <c r="I47" s="53" t="s">
        <v>40</v>
      </c>
      <c r="J47" s="53" t="s">
        <v>137</v>
      </c>
      <c r="K47" s="53" t="s">
        <v>131</v>
      </c>
      <c r="L47" s="70" t="s">
        <v>128</v>
      </c>
    </row>
    <row r="48" spans="1:12" ht="15" customHeight="1" x14ac:dyDescent="0.4">
      <c r="A48" s="77">
        <v>355</v>
      </c>
      <c r="B48" s="75">
        <v>1.1499999999999999</v>
      </c>
      <c r="C48" s="71">
        <v>222.39999999999998</v>
      </c>
      <c r="D48" s="75">
        <v>1</v>
      </c>
      <c r="E48" s="75">
        <v>1.3</v>
      </c>
      <c r="F48" s="71">
        <v>32.5</v>
      </c>
      <c r="G48" s="75">
        <v>0.75</v>
      </c>
      <c r="H48" s="75">
        <v>4.9000000000000004</v>
      </c>
      <c r="I48" s="75">
        <v>1</v>
      </c>
      <c r="J48" s="75">
        <v>1</v>
      </c>
      <c r="K48" s="75">
        <v>5.8168201951838423</v>
      </c>
      <c r="L48" s="76">
        <v>6.8168201951838423</v>
      </c>
    </row>
    <row r="49" spans="1:12" ht="15" customHeight="1" x14ac:dyDescent="0.4">
      <c r="A49" s="55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</row>
    <row r="50" spans="1:12" ht="15" customHeight="1" x14ac:dyDescent="0.4">
      <c r="A50" s="55"/>
      <c r="B50" s="55"/>
      <c r="C50" s="56"/>
      <c r="D50" s="57"/>
      <c r="E50" s="55"/>
      <c r="F50" s="55"/>
      <c r="G50" s="55"/>
      <c r="H50" s="55"/>
      <c r="I50" s="55"/>
      <c r="J50" s="55"/>
      <c r="K50" s="55"/>
      <c r="L50" s="55"/>
    </row>
    <row r="51" spans="1:12" ht="15" customHeight="1" x14ac:dyDescent="0.4">
      <c r="A51" s="55"/>
      <c r="B51" s="55"/>
      <c r="C51" s="55"/>
      <c r="D51" s="58"/>
      <c r="E51" s="55"/>
      <c r="F51" s="58"/>
      <c r="G51" s="59"/>
      <c r="H51" s="59"/>
      <c r="I51" s="60"/>
      <c r="J51" s="60"/>
      <c r="K51" s="60"/>
      <c r="L51" s="60"/>
    </row>
    <row r="52" spans="1:12" ht="15" customHeight="1" x14ac:dyDescent="0.4">
      <c r="A52" s="55"/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</row>
    <row r="53" spans="1:12" ht="15" customHeight="1" x14ac:dyDescent="0.4">
      <c r="A53" s="55"/>
      <c r="B53" s="55"/>
      <c r="C53" s="56"/>
      <c r="D53" s="57"/>
      <c r="E53" s="55"/>
      <c r="F53" s="55"/>
      <c r="G53" s="55"/>
      <c r="H53" s="55"/>
      <c r="I53" s="55"/>
      <c r="J53" s="55"/>
      <c r="K53" s="55"/>
      <c r="L53" s="55"/>
    </row>
    <row r="54" spans="1:12" ht="15" customHeight="1" x14ac:dyDescent="0.4">
      <c r="A54" s="55"/>
      <c r="B54" s="55"/>
      <c r="C54" s="55"/>
      <c r="D54" s="58"/>
      <c r="E54" s="55"/>
      <c r="F54" s="58"/>
      <c r="G54" s="59"/>
      <c r="H54" s="59"/>
      <c r="I54" s="60"/>
      <c r="J54" s="60"/>
      <c r="K54" s="60"/>
      <c r="L54" s="60"/>
    </row>
    <row r="55" spans="1:12" ht="15" customHeight="1" x14ac:dyDescent="0.4"/>
    <row r="56" spans="1:12" ht="15" customHeight="1" x14ac:dyDescent="0.4"/>
    <row r="57" spans="1:12" ht="15" customHeight="1" x14ac:dyDescent="0.4"/>
    <row r="58" spans="1:12" ht="15" customHeight="1" x14ac:dyDescent="0.4"/>
    <row r="59" spans="1:12" ht="15" customHeight="1" x14ac:dyDescent="0.4"/>
    <row r="60" spans="1:12" ht="15" customHeight="1" x14ac:dyDescent="0.4"/>
    <row r="61" spans="1:12" ht="15" customHeight="1" x14ac:dyDescent="0.4"/>
    <row r="62" spans="1:12" ht="15" customHeight="1" x14ac:dyDescent="0.4"/>
    <row r="63" spans="1:12" ht="15" customHeight="1" x14ac:dyDescent="0.4"/>
    <row r="64" spans="1:12" ht="15" customHeight="1" x14ac:dyDescent="0.4"/>
    <row r="65" s="26" customFormat="1" ht="15" customHeight="1" x14ac:dyDescent="0.4"/>
    <row r="66" s="26" customFormat="1" ht="15" customHeight="1" x14ac:dyDescent="0.4"/>
    <row r="67" s="26" customFormat="1" ht="15" customHeight="1" x14ac:dyDescent="0.4"/>
    <row r="68" s="26" customFormat="1" ht="15" customHeight="1" x14ac:dyDescent="0.4"/>
    <row r="69" s="26" customFormat="1" ht="15" customHeight="1" x14ac:dyDescent="0.4"/>
    <row r="70" ht="15" customHeight="1" x14ac:dyDescent="0.4"/>
    <row r="71" ht="15" customHeight="1" x14ac:dyDescent="0.4"/>
    <row r="72" ht="15" customHeight="1" x14ac:dyDescent="0.4"/>
    <row r="73" ht="15" customHeight="1" x14ac:dyDescent="0.4"/>
    <row r="74" ht="15" customHeight="1" x14ac:dyDescent="0.4"/>
    <row r="75" ht="15" customHeight="1" x14ac:dyDescent="0.4"/>
    <row r="76" ht="15" customHeight="1" x14ac:dyDescent="0.4"/>
    <row r="77" ht="15" customHeight="1" x14ac:dyDescent="0.4"/>
    <row r="78" ht="15" customHeight="1" x14ac:dyDescent="0.4"/>
    <row r="79" ht="15" customHeight="1" x14ac:dyDescent="0.4"/>
    <row r="80" ht="15" customHeight="1" x14ac:dyDescent="0.4"/>
    <row r="81" ht="15" customHeight="1" x14ac:dyDescent="0.4"/>
    <row r="82" ht="15" customHeight="1" x14ac:dyDescent="0.4"/>
    <row r="83" ht="15" customHeight="1" x14ac:dyDescent="0.4"/>
    <row r="84" ht="15" customHeight="1" x14ac:dyDescent="0.4"/>
    <row r="85" ht="15" customHeight="1" x14ac:dyDescent="0.4"/>
    <row r="86" ht="15" customHeight="1" x14ac:dyDescent="0.4"/>
    <row r="87" ht="15" customHeight="1" x14ac:dyDescent="0.4"/>
    <row r="88" ht="15" customHeight="1" x14ac:dyDescent="0.4"/>
    <row r="89" ht="15" customHeight="1" x14ac:dyDescent="0.4"/>
    <row r="90" ht="15" customHeight="1" x14ac:dyDescent="0.4"/>
    <row r="91" ht="15" customHeight="1" x14ac:dyDescent="0.4"/>
    <row r="92" ht="15" customHeight="1" x14ac:dyDescent="0.4"/>
    <row r="93" ht="15" customHeight="1" x14ac:dyDescent="0.4"/>
    <row r="94" ht="15" customHeight="1" x14ac:dyDescent="0.4"/>
    <row r="95" ht="15" customHeight="1" x14ac:dyDescent="0.4"/>
    <row r="96" ht="15" customHeight="1" x14ac:dyDescent="0.4"/>
    <row r="97" ht="15" customHeight="1" x14ac:dyDescent="0.4"/>
    <row r="98" ht="15" customHeight="1" x14ac:dyDescent="0.4"/>
    <row r="99" ht="15" customHeight="1" x14ac:dyDescent="0.4"/>
    <row r="100" ht="15" customHeight="1" x14ac:dyDescent="0.4"/>
    <row r="101" ht="15" customHeight="1" x14ac:dyDescent="0.4"/>
    <row r="102" ht="15" customHeight="1" x14ac:dyDescent="0.4"/>
    <row r="103" ht="15" customHeight="1" x14ac:dyDescent="0.4"/>
    <row r="104" ht="15" customHeight="1" x14ac:dyDescent="0.4"/>
    <row r="105" ht="15" customHeight="1" x14ac:dyDescent="0.4"/>
    <row r="106" ht="15" customHeight="1" x14ac:dyDescent="0.4"/>
    <row r="107" ht="15" customHeight="1" x14ac:dyDescent="0.4"/>
    <row r="108" ht="15" customHeight="1" x14ac:dyDescent="0.4"/>
    <row r="109" ht="15" customHeight="1" x14ac:dyDescent="0.4"/>
    <row r="110" ht="15" customHeight="1" x14ac:dyDescent="0.4"/>
    <row r="111" ht="15" customHeight="1" x14ac:dyDescent="0.4"/>
    <row r="112" ht="15" customHeight="1" x14ac:dyDescent="0.4"/>
    <row r="113" ht="15" customHeight="1" x14ac:dyDescent="0.4"/>
    <row r="114" ht="15" customHeight="1" x14ac:dyDescent="0.4"/>
    <row r="115" ht="15" customHeight="1" x14ac:dyDescent="0.4"/>
    <row r="116" ht="15" customHeight="1" x14ac:dyDescent="0.4"/>
    <row r="117" ht="15" customHeight="1" x14ac:dyDescent="0.4"/>
    <row r="409" spans="1:12" ht="12" customHeight="1" x14ac:dyDescent="0.4">
      <c r="A409"/>
      <c r="B409"/>
      <c r="C409"/>
      <c r="D409"/>
      <c r="E409"/>
      <c r="F409"/>
      <c r="G409"/>
      <c r="H409"/>
      <c r="I409"/>
      <c r="J409"/>
      <c r="K409"/>
      <c r="L409"/>
    </row>
    <row r="410" spans="1:12" ht="12" customHeight="1" x14ac:dyDescent="0.4">
      <c r="A410"/>
      <c r="B410"/>
      <c r="C410"/>
      <c r="D410"/>
      <c r="E410"/>
      <c r="F410"/>
      <c r="G410"/>
      <c r="H410"/>
      <c r="I410"/>
      <c r="J410"/>
      <c r="K410"/>
      <c r="L410"/>
    </row>
    <row r="411" spans="1:12" ht="12" customHeight="1" x14ac:dyDescent="0.4">
      <c r="A411"/>
      <c r="B411"/>
      <c r="C411"/>
      <c r="D411"/>
      <c r="E411"/>
      <c r="F411"/>
      <c r="G411"/>
      <c r="H411"/>
      <c r="I411"/>
      <c r="J411"/>
      <c r="K411"/>
      <c r="L411"/>
    </row>
    <row r="481" spans="1:12" ht="12" customHeight="1" x14ac:dyDescent="0.4">
      <c r="A481"/>
      <c r="B481"/>
      <c r="C481"/>
      <c r="D481"/>
      <c r="E481"/>
      <c r="F481"/>
      <c r="G481"/>
      <c r="H481"/>
      <c r="I481"/>
      <c r="J481"/>
      <c r="K481"/>
      <c r="L481"/>
    </row>
    <row r="482" spans="1:12" ht="12" customHeight="1" x14ac:dyDescent="0.4">
      <c r="A482"/>
      <c r="B482"/>
      <c r="C482"/>
      <c r="D482"/>
      <c r="E482"/>
      <c r="F482"/>
      <c r="G482"/>
      <c r="H482"/>
      <c r="I482"/>
      <c r="J482"/>
      <c r="K482"/>
      <c r="L482"/>
    </row>
    <row r="483" spans="1:12" ht="12" customHeight="1" x14ac:dyDescent="0.4">
      <c r="A483"/>
      <c r="B483"/>
      <c r="C483"/>
      <c r="D483"/>
      <c r="E483"/>
      <c r="F483"/>
      <c r="G483"/>
      <c r="H483"/>
      <c r="I483"/>
      <c r="J483"/>
      <c r="K483"/>
      <c r="L483"/>
    </row>
  </sheetData>
  <mergeCells count="1">
    <mergeCell ref="E4:L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Calculator_Click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8</xdr:col>
                    <xdr:colOff>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Delete_Click">
                <anchor moveWithCells="1" sizeWithCells="1">
                  <from>
                    <xdr:col>9</xdr:col>
                    <xdr:colOff>0</xdr:colOff>
                    <xdr:row>21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CleaeAll_Click">
                <anchor moveWithCells="1" sizeWithCells="1">
                  <from>
                    <xdr:col>10</xdr:col>
                    <xdr:colOff>0</xdr:colOff>
                    <xdr:row>21</xdr:row>
                    <xdr:rowOff>0</xdr:rowOff>
                  </from>
                  <to>
                    <xdr:col>11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CleaeAll_Click">
                <anchor moveWithCells="1" sizeWithCells="1">
                  <from>
                    <xdr:col>10</xdr:col>
                    <xdr:colOff>502920</xdr:colOff>
                    <xdr:row>21</xdr:row>
                    <xdr:rowOff>0</xdr:rowOff>
                  </from>
                  <to>
                    <xdr:col>12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DBE66B2-9595-44AB-BFA4-FF074135F257}">
          <x14:formula1>
            <xm:f>Front!$E$3:$E$7</xm:f>
          </x14:formula1>
          <xm:sqref>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83396-04DB-4FD1-99C6-2A2C9C82CF64}">
  <sheetPr codeName="Sheet6"/>
  <dimension ref="A1:R457"/>
  <sheetViews>
    <sheetView zoomScale="175" zoomScaleNormal="175" workbookViewId="0">
      <selection activeCell="F8" sqref="F8:J8"/>
    </sheetView>
  </sheetViews>
  <sheetFormatPr defaultColWidth="0" defaultRowHeight="12" customHeight="1" x14ac:dyDescent="0.4"/>
  <cols>
    <col min="1" max="12" width="6.59765625" style="26" customWidth="1"/>
    <col min="13" max="18" width="0" style="26" hidden="1" customWidth="1"/>
    <col min="19" max="16384" width="6.59765625" style="26" hidden="1"/>
  </cols>
  <sheetData>
    <row r="1" spans="1:12" ht="12" customHeight="1" x14ac:dyDescent="0.4">
      <c r="A1" s="27"/>
      <c r="B1" s="27"/>
      <c r="C1" s="27"/>
      <c r="D1" s="27"/>
    </row>
    <row r="2" spans="1:12" ht="12" customHeight="1" x14ac:dyDescent="0.4">
      <c r="A2" s="27"/>
      <c r="B2" s="27"/>
      <c r="C2" s="27"/>
      <c r="D2" s="27"/>
    </row>
    <row r="3" spans="1:12" ht="12" customHeight="1" x14ac:dyDescent="0.4">
      <c r="A3" s="27"/>
      <c r="B3" s="27"/>
      <c r="C3" s="27"/>
      <c r="D3" s="27"/>
    </row>
    <row r="4" spans="1:12" ht="12" customHeight="1" x14ac:dyDescent="0.4">
      <c r="A4" s="27"/>
      <c r="B4" s="27"/>
      <c r="C4" s="27"/>
      <c r="D4" s="27"/>
      <c r="E4" s="110"/>
      <c r="F4" s="110"/>
      <c r="G4" s="110"/>
      <c r="H4" s="110"/>
      <c r="I4" s="110"/>
      <c r="J4" s="110"/>
      <c r="K4" s="110"/>
      <c r="L4" s="110"/>
    </row>
    <row r="5" spans="1:12" ht="12" customHeight="1" x14ac:dyDescent="0.4">
      <c r="A5" s="27"/>
      <c r="B5" s="27"/>
      <c r="C5" s="27"/>
      <c r="D5" s="27"/>
      <c r="E5" s="110"/>
      <c r="F5" s="110"/>
      <c r="G5" s="110"/>
      <c r="H5" s="110"/>
      <c r="I5" s="110"/>
      <c r="J5" s="110"/>
      <c r="K5" s="110"/>
      <c r="L5" s="110"/>
    </row>
    <row r="7" spans="1:12" ht="12" customHeight="1" x14ac:dyDescent="0.4">
      <c r="A7" s="40" t="s">
        <v>105</v>
      </c>
      <c r="B7" s="40"/>
      <c r="C7" s="111" t="s">
        <v>121</v>
      </c>
      <c r="D7" s="111"/>
      <c r="E7" s="111"/>
      <c r="F7" s="111"/>
      <c r="G7" s="111"/>
      <c r="H7" s="111"/>
      <c r="I7" s="111"/>
      <c r="J7" s="111"/>
    </row>
    <row r="8" spans="1:12" ht="12" customHeight="1" x14ac:dyDescent="0.4">
      <c r="A8" s="40" t="s">
        <v>129</v>
      </c>
      <c r="B8" s="40"/>
      <c r="C8" s="68" t="s">
        <v>130</v>
      </c>
      <c r="D8" s="68"/>
      <c r="E8" s="68"/>
      <c r="F8" s="68"/>
      <c r="G8" s="68"/>
      <c r="H8" s="68"/>
      <c r="I8" s="68"/>
      <c r="J8" s="68"/>
    </row>
    <row r="9" spans="1:12" s="40" customFormat="1" ht="12" customHeight="1" x14ac:dyDescent="0.4">
      <c r="A9" s="40" t="s">
        <v>107</v>
      </c>
      <c r="C9" s="41" t="s">
        <v>106</v>
      </c>
      <c r="D9" s="41"/>
      <c r="E9" s="52">
        <v>10.5</v>
      </c>
      <c r="F9" s="42" t="s">
        <v>21</v>
      </c>
    </row>
    <row r="10" spans="1:12" s="40" customFormat="1" ht="12" customHeight="1" x14ac:dyDescent="0.4">
      <c r="C10" s="41"/>
      <c r="D10" s="43" t="s">
        <v>122</v>
      </c>
      <c r="E10" s="40">
        <v>1.3</v>
      </c>
      <c r="F10" s="42"/>
    </row>
    <row r="11" spans="1:12" s="40" customFormat="1" ht="12" customHeight="1" x14ac:dyDescent="0.4">
      <c r="D11" s="39" t="s">
        <v>32</v>
      </c>
      <c r="E11" s="44">
        <f>(1.025*9.81*E9+25)*E10</f>
        <v>169.75416250000001</v>
      </c>
      <c r="F11" s="40" t="s">
        <v>123</v>
      </c>
    </row>
    <row r="12" spans="1:12" s="40" customFormat="1" ht="12" customHeight="1" x14ac:dyDescent="0.4">
      <c r="D12" s="39"/>
      <c r="E12" s="44"/>
    </row>
    <row r="13" spans="1:12" s="40" customFormat="1" ht="12" customHeight="1" x14ac:dyDescent="0.4">
      <c r="A13" s="40" t="s">
        <v>109</v>
      </c>
      <c r="E13" s="50" t="s">
        <v>113</v>
      </c>
    </row>
    <row r="14" spans="1:12" s="40" customFormat="1" ht="12" customHeight="1" x14ac:dyDescent="0.4">
      <c r="A14" s="40" t="s">
        <v>120</v>
      </c>
      <c r="B14" s="41"/>
      <c r="C14" s="41">
        <v>160</v>
      </c>
      <c r="D14" s="41" t="s">
        <v>108</v>
      </c>
      <c r="E14" s="45">
        <f>C14*VLOOKUP(E13,Front!E3:H7,3,FALSE)</f>
        <v>222.39999999999998</v>
      </c>
      <c r="F14" s="40" t="s">
        <v>124</v>
      </c>
    </row>
    <row r="15" spans="1:12" s="40" customFormat="1" ht="12" customHeight="1" x14ac:dyDescent="0.4">
      <c r="D15" s="46" t="s">
        <v>125</v>
      </c>
      <c r="E15" s="39">
        <v>1.1499999999999999</v>
      </c>
    </row>
    <row r="16" spans="1:12" s="40" customFormat="1" ht="12" customHeight="1" x14ac:dyDescent="0.4">
      <c r="D16" s="40" t="s">
        <v>126</v>
      </c>
      <c r="E16" s="47">
        <v>1</v>
      </c>
    </row>
    <row r="17" spans="1:12" s="40" customFormat="1" ht="12" customHeight="1" x14ac:dyDescent="0.4"/>
    <row r="18" spans="1:12" s="40" customFormat="1" ht="12" customHeight="1" x14ac:dyDescent="0.4">
      <c r="D18" s="41" t="s">
        <v>119</v>
      </c>
      <c r="E18" s="51">
        <v>0.7</v>
      </c>
      <c r="F18" s="42" t="s">
        <v>21</v>
      </c>
    </row>
    <row r="19" spans="1:12" s="40" customFormat="1" ht="12" customHeight="1" x14ac:dyDescent="0.4">
      <c r="D19" s="41" t="s">
        <v>118</v>
      </c>
      <c r="E19" s="51">
        <v>4</v>
      </c>
      <c r="F19" s="42" t="s">
        <v>21</v>
      </c>
    </row>
    <row r="20" spans="1:12" s="40" customFormat="1" ht="12" customHeight="1" x14ac:dyDescent="0.4">
      <c r="D20" s="41" t="s">
        <v>127</v>
      </c>
      <c r="E20" s="48">
        <v>12</v>
      </c>
    </row>
    <row r="21" spans="1:12" s="40" customFormat="1" ht="12" customHeight="1" x14ac:dyDescent="0.4"/>
    <row r="22" spans="1:12" s="40" customFormat="1" ht="12" customHeight="1" x14ac:dyDescent="0.4">
      <c r="I22" s="49"/>
    </row>
    <row r="23" spans="1:12" s="40" customFormat="1" ht="12" customHeight="1" x14ac:dyDescent="0.4"/>
    <row r="24" spans="1:12" ht="12" customHeight="1" x14ac:dyDescent="0.4">
      <c r="A24" s="28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</row>
    <row r="25" spans="1:12" ht="15" customHeight="1" x14ac:dyDescent="0.4">
      <c r="A25" s="32">
        <v>1</v>
      </c>
      <c r="B25" s="30" t="s">
        <v>145</v>
      </c>
      <c r="C25" s="33"/>
      <c r="D25" s="33"/>
      <c r="E25" s="33"/>
      <c r="F25" s="33"/>
      <c r="G25" s="33"/>
      <c r="H25" s="33"/>
      <c r="I25" s="33"/>
      <c r="J25" s="33"/>
      <c r="K25" s="33"/>
      <c r="L25" s="34"/>
    </row>
    <row r="26" spans="1:12" ht="15" customHeight="1" x14ac:dyDescent="0.4">
      <c r="A26" s="35" t="s">
        <v>146</v>
      </c>
      <c r="B26" s="55" t="s">
        <v>147</v>
      </c>
      <c r="C26" s="56" t="s">
        <v>148</v>
      </c>
      <c r="D26" s="57" t="s">
        <v>149</v>
      </c>
      <c r="E26" s="55" t="s">
        <v>150</v>
      </c>
      <c r="F26" s="55" t="s">
        <v>151</v>
      </c>
      <c r="G26" s="55" t="s">
        <v>152</v>
      </c>
      <c r="H26" s="55" t="s">
        <v>153</v>
      </c>
      <c r="I26" s="55" t="s">
        <v>154</v>
      </c>
      <c r="J26" s="55" t="s">
        <v>155</v>
      </c>
      <c r="K26" s="55"/>
      <c r="L26" s="36"/>
    </row>
    <row r="27" spans="1:12" ht="15" customHeight="1" x14ac:dyDescent="0.4">
      <c r="A27" s="35"/>
      <c r="B27" s="55" t="e">
        <f>VLOOKUP(A27,Front!E3:G7,2,FALSE)</f>
        <v>#N/A</v>
      </c>
      <c r="C27" s="55">
        <v>1.1499999999999999</v>
      </c>
      <c r="D27" s="58" t="s">
        <v>113</v>
      </c>
      <c r="E27" s="55">
        <v>10.5</v>
      </c>
      <c r="F27" s="58">
        <v>1.3</v>
      </c>
      <c r="G27" s="59"/>
      <c r="H27" s="59">
        <v>0.7</v>
      </c>
      <c r="I27" s="60">
        <v>4</v>
      </c>
      <c r="J27" s="60">
        <v>1.1499999999999999</v>
      </c>
      <c r="K27" s="58"/>
      <c r="L27" s="61"/>
    </row>
    <row r="28" spans="1:12" ht="15" customHeight="1" x14ac:dyDescent="0.4">
      <c r="A28" s="62"/>
      <c r="B28" s="52"/>
      <c r="C28" s="54"/>
      <c r="D28" s="54"/>
      <c r="E28" s="54"/>
      <c r="F28" s="54"/>
      <c r="G28" s="54"/>
      <c r="H28" s="54"/>
      <c r="I28" s="54"/>
      <c r="J28" s="54"/>
      <c r="K28" s="54"/>
      <c r="L28" s="63"/>
    </row>
    <row r="29" spans="1:12" ht="15" customHeight="1" x14ac:dyDescent="0.4">
      <c r="A29" s="67"/>
      <c r="B29" s="38"/>
      <c r="C29" s="64"/>
      <c r="D29" s="65"/>
      <c r="E29" s="37"/>
      <c r="F29" s="37"/>
      <c r="G29" s="37"/>
      <c r="H29" s="37"/>
      <c r="I29" s="37"/>
      <c r="J29" s="37"/>
      <c r="K29" s="37"/>
      <c r="L29" s="66"/>
    </row>
    <row r="30" spans="1:12" ht="15" customHeight="1" x14ac:dyDescent="0.4">
      <c r="A30" s="32"/>
      <c r="B30" s="30"/>
      <c r="C30" s="33"/>
      <c r="D30" s="33"/>
      <c r="E30" s="33"/>
      <c r="F30" s="33"/>
      <c r="G30" s="33"/>
      <c r="H30" s="33"/>
      <c r="I30" s="33"/>
      <c r="J30" s="33"/>
      <c r="K30" s="33"/>
      <c r="L30" s="34"/>
    </row>
    <row r="31" spans="1:12" ht="15" customHeight="1" x14ac:dyDescent="0.4">
      <c r="A31" s="35"/>
      <c r="B31" s="55"/>
      <c r="C31" s="56"/>
      <c r="D31" s="57"/>
      <c r="E31" s="55"/>
      <c r="F31" s="55"/>
      <c r="G31" s="55"/>
      <c r="H31" s="55"/>
      <c r="I31" s="55"/>
      <c r="J31" s="55"/>
      <c r="K31" s="55"/>
      <c r="L31" s="36"/>
    </row>
    <row r="32" spans="1:12" ht="15" customHeight="1" x14ac:dyDescent="0.4">
      <c r="A32" s="35"/>
      <c r="B32" s="55"/>
      <c r="C32" s="55"/>
      <c r="D32" s="58"/>
      <c r="E32" s="55"/>
      <c r="F32" s="58"/>
      <c r="G32" s="59"/>
      <c r="H32" s="59"/>
      <c r="I32" s="60"/>
      <c r="J32" s="60"/>
      <c r="K32" s="58"/>
      <c r="L32" s="61"/>
    </row>
    <row r="33" spans="1:12" ht="15" customHeight="1" x14ac:dyDescent="0.4">
      <c r="A33" s="62"/>
      <c r="B33" s="52"/>
      <c r="C33" s="54"/>
      <c r="D33" s="54"/>
      <c r="E33" s="54"/>
      <c r="F33" s="54"/>
      <c r="G33" s="54"/>
      <c r="H33" s="54"/>
      <c r="I33" s="54"/>
      <c r="J33" s="54"/>
      <c r="K33" s="54"/>
      <c r="L33" s="63"/>
    </row>
    <row r="34" spans="1:12" ht="15" customHeight="1" x14ac:dyDescent="0.4">
      <c r="A34" s="67"/>
      <c r="B34" s="38"/>
      <c r="C34" s="64"/>
      <c r="D34" s="65"/>
      <c r="E34" s="37"/>
      <c r="F34" s="37"/>
      <c r="G34" s="37"/>
      <c r="H34" s="37"/>
      <c r="I34" s="37"/>
      <c r="J34" s="37"/>
      <c r="K34" s="37"/>
      <c r="L34" s="66"/>
    </row>
    <row r="35" spans="1:12" ht="15" customHeight="1" x14ac:dyDescent="0.4">
      <c r="A35" s="32"/>
      <c r="B35" s="30"/>
      <c r="C35" s="33"/>
      <c r="D35" s="33"/>
      <c r="E35" s="33"/>
      <c r="F35" s="33"/>
      <c r="G35" s="33"/>
      <c r="H35" s="33"/>
      <c r="I35" s="33"/>
      <c r="J35" s="33"/>
      <c r="K35" s="33"/>
      <c r="L35" s="34"/>
    </row>
    <row r="36" spans="1:12" ht="15" customHeight="1" x14ac:dyDescent="0.4">
      <c r="A36" s="35"/>
      <c r="B36" s="55"/>
      <c r="C36" s="56"/>
      <c r="D36" s="57"/>
      <c r="E36" s="55"/>
      <c r="F36" s="55"/>
      <c r="G36" s="55"/>
      <c r="H36" s="55"/>
      <c r="I36" s="55"/>
      <c r="J36" s="55"/>
      <c r="K36" s="55"/>
      <c r="L36" s="36"/>
    </row>
    <row r="37" spans="1:12" ht="15" customHeight="1" x14ac:dyDescent="0.4">
      <c r="A37" s="35"/>
      <c r="B37" s="55"/>
      <c r="C37" s="55"/>
      <c r="D37" s="58"/>
      <c r="E37" s="55"/>
      <c r="F37" s="58"/>
      <c r="G37" s="59"/>
      <c r="H37" s="59"/>
      <c r="I37" s="60"/>
      <c r="J37" s="60"/>
      <c r="K37" s="58"/>
      <c r="L37" s="61"/>
    </row>
    <row r="38" spans="1:12" ht="15" customHeight="1" x14ac:dyDescent="0.4">
      <c r="A38" s="62"/>
      <c r="B38" s="52"/>
      <c r="C38" s="54"/>
      <c r="D38" s="54"/>
      <c r="E38" s="54"/>
      <c r="F38" s="54"/>
      <c r="G38" s="54"/>
      <c r="H38" s="54"/>
      <c r="I38" s="54"/>
      <c r="J38" s="54"/>
      <c r="K38" s="54"/>
      <c r="L38" s="63"/>
    </row>
    <row r="39" spans="1:12" ht="15" customHeight="1" x14ac:dyDescent="0.4">
      <c r="A39" s="67"/>
      <c r="B39" s="38"/>
      <c r="C39" s="64"/>
      <c r="D39" s="65"/>
      <c r="E39" s="37"/>
      <c r="F39" s="37"/>
      <c r="G39" s="37"/>
      <c r="H39" s="37"/>
      <c r="I39" s="37"/>
      <c r="J39" s="37"/>
      <c r="K39" s="37"/>
      <c r="L39" s="66"/>
    </row>
    <row r="40" spans="1:12" ht="15" customHeight="1" x14ac:dyDescent="0.4">
      <c r="A40" s="32"/>
      <c r="B40" s="30"/>
      <c r="C40" s="33"/>
      <c r="D40" s="33"/>
      <c r="E40" s="33"/>
      <c r="F40" s="33"/>
      <c r="G40" s="33"/>
      <c r="H40" s="33"/>
      <c r="I40" s="33"/>
      <c r="J40" s="33"/>
      <c r="K40" s="33"/>
      <c r="L40" s="34"/>
    </row>
    <row r="41" spans="1:12" ht="15" customHeight="1" x14ac:dyDescent="0.4">
      <c r="A41" s="35"/>
      <c r="B41" s="55"/>
      <c r="C41" s="56"/>
      <c r="D41" s="57"/>
      <c r="E41" s="55"/>
      <c r="F41" s="55"/>
      <c r="G41" s="55"/>
      <c r="H41" s="55"/>
      <c r="I41" s="55"/>
      <c r="J41" s="55"/>
      <c r="K41" s="55"/>
      <c r="L41" s="36"/>
    </row>
    <row r="42" spans="1:12" ht="15" customHeight="1" x14ac:dyDescent="0.4">
      <c r="A42" s="35"/>
      <c r="B42" s="55"/>
      <c r="C42" s="55"/>
      <c r="D42" s="58"/>
      <c r="E42" s="55"/>
      <c r="F42" s="58"/>
      <c r="G42" s="59"/>
      <c r="H42" s="59"/>
      <c r="I42" s="60"/>
      <c r="J42" s="60"/>
      <c r="K42" s="58"/>
      <c r="L42" s="61"/>
    </row>
    <row r="43" spans="1:12" ht="15" customHeight="1" x14ac:dyDescent="0.4">
      <c r="A43" s="62"/>
      <c r="B43" s="52"/>
      <c r="C43" s="54"/>
      <c r="D43" s="54"/>
      <c r="E43" s="54"/>
      <c r="F43" s="54"/>
      <c r="G43" s="54"/>
      <c r="H43" s="54"/>
      <c r="I43" s="54"/>
      <c r="J43" s="54"/>
      <c r="K43" s="54"/>
      <c r="L43" s="63"/>
    </row>
    <row r="44" spans="1:12" ht="15" customHeight="1" x14ac:dyDescent="0.4">
      <c r="A44" s="67"/>
      <c r="B44" s="38"/>
      <c r="C44" s="64"/>
      <c r="D44" s="65"/>
      <c r="E44" s="37"/>
      <c r="F44" s="37"/>
      <c r="G44" s="37"/>
      <c r="H44" s="37"/>
      <c r="I44" s="37"/>
      <c r="J44" s="37"/>
      <c r="K44" s="37"/>
      <c r="L44" s="66"/>
    </row>
    <row r="45" spans="1:12" ht="15" customHeight="1" x14ac:dyDescent="0.4"/>
    <row r="46" spans="1:12" ht="15" customHeight="1" x14ac:dyDescent="0.4"/>
    <row r="47" spans="1:12" ht="15" customHeight="1" x14ac:dyDescent="0.4"/>
    <row r="48" spans="1:12" ht="15" customHeight="1" x14ac:dyDescent="0.4"/>
    <row r="49" ht="15" customHeight="1" x14ac:dyDescent="0.4"/>
    <row r="50" ht="15" customHeight="1" x14ac:dyDescent="0.4"/>
    <row r="51" ht="15" customHeight="1" x14ac:dyDescent="0.4"/>
    <row r="52" ht="15" customHeight="1" x14ac:dyDescent="0.4"/>
    <row r="53" ht="15" customHeight="1" x14ac:dyDescent="0.4"/>
    <row r="54" ht="15" customHeight="1" x14ac:dyDescent="0.4"/>
    <row r="55" ht="15" customHeight="1" x14ac:dyDescent="0.4"/>
    <row r="56" ht="15" customHeight="1" x14ac:dyDescent="0.4"/>
    <row r="57" ht="15" customHeight="1" x14ac:dyDescent="0.4"/>
    <row r="58" ht="15" customHeight="1" x14ac:dyDescent="0.4"/>
    <row r="59" ht="15" customHeight="1" x14ac:dyDescent="0.4"/>
    <row r="60" ht="15" customHeight="1" x14ac:dyDescent="0.4"/>
    <row r="61" ht="15" customHeight="1" x14ac:dyDescent="0.4"/>
    <row r="62" ht="15" customHeight="1" x14ac:dyDescent="0.4"/>
    <row r="63" ht="15" customHeight="1" x14ac:dyDescent="0.4"/>
    <row r="64" ht="15" customHeight="1" x14ac:dyDescent="0.4"/>
    <row r="65" ht="15" customHeight="1" x14ac:dyDescent="0.4"/>
    <row r="66" ht="15" customHeight="1" x14ac:dyDescent="0.4"/>
    <row r="67" ht="15" customHeight="1" x14ac:dyDescent="0.4"/>
    <row r="68" ht="15" customHeight="1" x14ac:dyDescent="0.4"/>
    <row r="69" ht="15" customHeight="1" x14ac:dyDescent="0.4"/>
    <row r="70" ht="15" customHeight="1" x14ac:dyDescent="0.4"/>
    <row r="71" ht="15" customHeight="1" x14ac:dyDescent="0.4"/>
    <row r="72" ht="15" customHeight="1" x14ac:dyDescent="0.4"/>
    <row r="73" ht="15" customHeight="1" x14ac:dyDescent="0.4"/>
    <row r="74" ht="15" customHeight="1" x14ac:dyDescent="0.4"/>
    <row r="75" ht="15" customHeight="1" x14ac:dyDescent="0.4"/>
    <row r="76" ht="15" customHeight="1" x14ac:dyDescent="0.4"/>
    <row r="77" ht="15" customHeight="1" x14ac:dyDescent="0.4"/>
    <row r="78" ht="15" customHeight="1" x14ac:dyDescent="0.4"/>
    <row r="79" ht="15" customHeight="1" x14ac:dyDescent="0.4"/>
    <row r="80" ht="15" customHeight="1" x14ac:dyDescent="0.4"/>
    <row r="81" ht="15" customHeight="1" x14ac:dyDescent="0.4"/>
    <row r="82" ht="15" customHeight="1" x14ac:dyDescent="0.4"/>
    <row r="83" ht="15" customHeight="1" x14ac:dyDescent="0.4"/>
    <row r="84" ht="15" customHeight="1" x14ac:dyDescent="0.4"/>
    <row r="85" ht="15" customHeight="1" x14ac:dyDescent="0.4"/>
    <row r="86" ht="15" customHeight="1" x14ac:dyDescent="0.4"/>
    <row r="87" ht="15" customHeight="1" x14ac:dyDescent="0.4"/>
    <row r="88" ht="15" customHeight="1" x14ac:dyDescent="0.4"/>
    <row r="89" ht="15" customHeight="1" x14ac:dyDescent="0.4"/>
    <row r="90" ht="15" customHeight="1" x14ac:dyDescent="0.4"/>
    <row r="91" ht="15" customHeight="1" x14ac:dyDescent="0.4"/>
    <row r="383" spans="1:12" ht="12" customHeight="1" x14ac:dyDescent="0.4">
      <c r="A383"/>
      <c r="B383"/>
      <c r="C383"/>
      <c r="D383"/>
      <c r="E383"/>
      <c r="F383"/>
      <c r="G383"/>
      <c r="H383"/>
      <c r="I383"/>
      <c r="J383"/>
      <c r="K383"/>
      <c r="L383"/>
    </row>
    <row r="384" spans="1:12" ht="12" customHeight="1" x14ac:dyDescent="0.4">
      <c r="A384"/>
      <c r="B384"/>
      <c r="C384"/>
      <c r="D384"/>
      <c r="E384"/>
      <c r="F384"/>
      <c r="G384"/>
      <c r="H384"/>
      <c r="I384"/>
      <c r="J384"/>
      <c r="K384"/>
      <c r="L384"/>
    </row>
    <row r="385" spans="1:12" ht="12" customHeight="1" x14ac:dyDescent="0.4">
      <c r="A385"/>
      <c r="B385"/>
      <c r="C385"/>
      <c r="D385"/>
      <c r="E385"/>
      <c r="F385"/>
      <c r="G385"/>
      <c r="H385"/>
      <c r="I385"/>
      <c r="J385"/>
      <c r="K385"/>
      <c r="L385"/>
    </row>
    <row r="455" spans="1:12" ht="12" customHeight="1" x14ac:dyDescent="0.4">
      <c r="A455"/>
      <c r="B455"/>
      <c r="C455"/>
      <c r="D455"/>
      <c r="E455"/>
      <c r="F455"/>
      <c r="G455"/>
      <c r="H455"/>
      <c r="I455"/>
      <c r="J455"/>
      <c r="K455"/>
      <c r="L455"/>
    </row>
    <row r="456" spans="1:12" ht="12" customHeight="1" x14ac:dyDescent="0.4">
      <c r="A456"/>
      <c r="B456"/>
      <c r="C456"/>
      <c r="D456"/>
      <c r="E456"/>
      <c r="F456"/>
      <c r="G456"/>
      <c r="H456"/>
      <c r="I456"/>
      <c r="J456"/>
      <c r="K456"/>
      <c r="L456"/>
    </row>
    <row r="457" spans="1:12" ht="12" customHeight="1" x14ac:dyDescent="0.4">
      <c r="A457"/>
      <c r="B457"/>
      <c r="C457"/>
      <c r="D457"/>
      <c r="E457"/>
      <c r="F457"/>
      <c r="G457"/>
      <c r="H457"/>
      <c r="I457"/>
      <c r="J457"/>
      <c r="K457"/>
      <c r="L457"/>
    </row>
  </sheetData>
  <mergeCells count="2">
    <mergeCell ref="E4:L5"/>
    <mergeCell ref="C7:J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alculator2_Click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8</xdr:col>
                    <xdr:colOff>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Module1.Delete2_Click">
                <anchor moveWithCells="1" sizeWithCells="1">
                  <from>
                    <xdr:col>9</xdr:col>
                    <xdr:colOff>0</xdr:colOff>
                    <xdr:row>21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leaeAll2_Click">
                <anchor moveWithCells="1" sizeWithCells="1">
                  <from>
                    <xdr:col>10</xdr:col>
                    <xdr:colOff>0</xdr:colOff>
                    <xdr:row>21</xdr:row>
                    <xdr:rowOff>0</xdr:rowOff>
                  </from>
                  <to>
                    <xdr:col>11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leaeAll_Click">
                <anchor moveWithCells="1" sizeWithCells="1">
                  <from>
                    <xdr:col>10</xdr:col>
                    <xdr:colOff>502920</xdr:colOff>
                    <xdr:row>21</xdr:row>
                    <xdr:rowOff>0</xdr:rowOff>
                  </from>
                  <to>
                    <xdr:col>12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EAE7F93-C053-4BEC-B2EB-5EEF9146D01D}">
          <x14:formula1>
            <xm:f>Front!$E$3:$E$7</xm:f>
          </x14:formula1>
          <xm:sqref>E13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01123-7FAD-44A4-BDEA-B88F89545C7D}">
  <sheetPr codeName="Sheet7"/>
  <dimension ref="A1:R483"/>
  <sheetViews>
    <sheetView tabSelected="1" topLeftCell="A8" zoomScale="130" zoomScaleNormal="130" workbookViewId="0">
      <selection activeCell="G27" sqref="G27"/>
    </sheetView>
  </sheetViews>
  <sheetFormatPr defaultColWidth="0" defaultRowHeight="12" customHeight="1" x14ac:dyDescent="0.4"/>
  <cols>
    <col min="1" max="12" width="6.59765625" style="26" customWidth="1"/>
    <col min="13" max="18" width="0" style="26" hidden="1" customWidth="1"/>
    <col min="19" max="16384" width="6.59765625" style="26" hidden="1"/>
  </cols>
  <sheetData>
    <row r="1" spans="1:12" ht="12" customHeight="1" x14ac:dyDescent="0.4">
      <c r="A1" s="27"/>
      <c r="B1" s="27"/>
      <c r="C1" s="27"/>
      <c r="D1" s="27"/>
    </row>
    <row r="2" spans="1:12" ht="12" customHeight="1" x14ac:dyDescent="0.4">
      <c r="A2" s="27"/>
      <c r="B2" s="27"/>
      <c r="C2" s="27"/>
      <c r="D2" s="27"/>
    </row>
    <row r="3" spans="1:12" ht="12" customHeight="1" x14ac:dyDescent="0.4">
      <c r="A3" s="27"/>
      <c r="B3" s="27"/>
      <c r="C3" s="27"/>
      <c r="D3" s="27"/>
    </row>
    <row r="4" spans="1:12" ht="12" customHeight="1" x14ac:dyDescent="0.4">
      <c r="A4" s="27"/>
      <c r="B4" s="27"/>
      <c r="C4" s="27"/>
      <c r="D4" s="27"/>
      <c r="E4" s="110"/>
      <c r="F4" s="110"/>
      <c r="G4" s="110"/>
      <c r="H4" s="110"/>
      <c r="I4" s="110"/>
      <c r="J4" s="110"/>
      <c r="K4" s="110"/>
      <c r="L4" s="110"/>
    </row>
    <row r="5" spans="1:12" ht="12" customHeight="1" x14ac:dyDescent="0.4">
      <c r="A5" s="27"/>
      <c r="B5" s="27"/>
      <c r="C5" s="27"/>
      <c r="D5" s="27"/>
      <c r="E5" s="110"/>
      <c r="F5" s="110"/>
      <c r="G5" s="110"/>
      <c r="H5" s="110"/>
      <c r="I5" s="110"/>
      <c r="J5" s="110"/>
      <c r="K5" s="110"/>
      <c r="L5" s="110"/>
    </row>
    <row r="7" spans="1:12" ht="12" customHeight="1" x14ac:dyDescent="0.4">
      <c r="A7" s="28" t="s">
        <v>105</v>
      </c>
      <c r="C7" s="112" t="s">
        <v>121</v>
      </c>
      <c r="D7" s="112"/>
      <c r="E7" s="112"/>
      <c r="F7" s="112"/>
      <c r="G7" s="112"/>
      <c r="H7" s="112"/>
      <c r="I7" s="112"/>
      <c r="J7" s="112"/>
    </row>
    <row r="8" spans="1:12" ht="12" customHeight="1" x14ac:dyDescent="0.4">
      <c r="A8" s="40" t="s">
        <v>129</v>
      </c>
      <c r="B8" s="40"/>
      <c r="C8" s="68" t="s">
        <v>186</v>
      </c>
      <c r="D8" s="68"/>
      <c r="E8" s="68"/>
      <c r="F8" s="42" t="s">
        <v>188</v>
      </c>
      <c r="G8" s="40" t="s">
        <v>187</v>
      </c>
      <c r="H8" s="124">
        <v>12</v>
      </c>
      <c r="I8" s="40" t="s">
        <v>183</v>
      </c>
      <c r="J8" s="40"/>
    </row>
    <row r="9" spans="1:12" s="40" customFormat="1" ht="12" customHeight="1" x14ac:dyDescent="0.4">
      <c r="A9" s="40" t="s">
        <v>107</v>
      </c>
      <c r="C9" s="41" t="s">
        <v>106</v>
      </c>
      <c r="D9" s="41"/>
      <c r="E9" s="52">
        <v>10.5</v>
      </c>
      <c r="F9" s="42" t="s">
        <v>21</v>
      </c>
    </row>
    <row r="10" spans="1:12" s="40" customFormat="1" ht="14.25" customHeight="1" x14ac:dyDescent="0.4">
      <c r="C10" s="41"/>
      <c r="D10" s="43" t="s">
        <v>122</v>
      </c>
      <c r="E10" s="40">
        <v>1.3</v>
      </c>
      <c r="F10" s="42"/>
    </row>
    <row r="11" spans="1:12" s="40" customFormat="1" ht="12" customHeight="1" x14ac:dyDescent="0.4">
      <c r="D11" s="39" t="s">
        <v>32</v>
      </c>
      <c r="E11" s="44">
        <f>(1.025*9.81*E9+25)*E10</f>
        <v>169.75416250000001</v>
      </c>
      <c r="F11" s="40" t="s">
        <v>123</v>
      </c>
    </row>
    <row r="12" spans="1:12" s="40" customFormat="1" ht="12" customHeight="1" x14ac:dyDescent="0.4">
      <c r="D12" s="39"/>
      <c r="E12" s="44"/>
    </row>
    <row r="13" spans="1:12" s="40" customFormat="1" ht="12" customHeight="1" x14ac:dyDescent="0.4">
      <c r="A13" s="40" t="s">
        <v>109</v>
      </c>
      <c r="E13" s="50" t="s">
        <v>113</v>
      </c>
    </row>
    <row r="14" spans="1:12" s="40" customFormat="1" ht="12" customHeight="1" x14ac:dyDescent="0.4">
      <c r="A14" s="40" t="s">
        <v>156</v>
      </c>
      <c r="E14" s="82">
        <f>VLOOKUP(E13,[1]Front!E3:H7,2,FALSE)</f>
        <v>355</v>
      </c>
    </row>
    <row r="15" spans="1:12" s="40" customFormat="1" ht="12" customHeight="1" x14ac:dyDescent="0.4">
      <c r="A15" s="40" t="s">
        <v>120</v>
      </c>
      <c r="B15" s="41"/>
      <c r="C15" s="41">
        <v>160</v>
      </c>
      <c r="D15" s="41" t="s">
        <v>108</v>
      </c>
      <c r="E15" s="45">
        <f>C15*VLOOKUP(E13,[1]Front!E3:H7,3,FALSE)</f>
        <v>222.39999999999998</v>
      </c>
      <c r="F15" s="40" t="s">
        <v>124</v>
      </c>
    </row>
    <row r="16" spans="1:12" s="40" customFormat="1" ht="12" customHeight="1" x14ac:dyDescent="0.4">
      <c r="D16" s="46" t="s">
        <v>125</v>
      </c>
      <c r="E16" s="39">
        <v>1.1499999999999999</v>
      </c>
    </row>
    <row r="17" spans="1:12" s="40" customFormat="1" ht="12" customHeight="1" x14ac:dyDescent="0.4">
      <c r="D17" s="40" t="s">
        <v>126</v>
      </c>
      <c r="E17" s="47">
        <v>1</v>
      </c>
    </row>
    <row r="18" spans="1:12" s="40" customFormat="1" ht="12" customHeight="1" x14ac:dyDescent="0.4"/>
    <row r="19" spans="1:12" s="40" customFormat="1" ht="12" customHeight="1" x14ac:dyDescent="0.4">
      <c r="D19" s="41" t="s">
        <v>119</v>
      </c>
      <c r="E19" s="51">
        <v>0.75</v>
      </c>
      <c r="F19" s="42" t="s">
        <v>21</v>
      </c>
    </row>
    <row r="20" spans="1:12" s="40" customFormat="1" ht="12" customHeight="1" x14ac:dyDescent="0.4">
      <c r="D20" s="41" t="s">
        <v>118</v>
      </c>
      <c r="E20" s="51">
        <v>4</v>
      </c>
      <c r="F20" s="42" t="s">
        <v>21</v>
      </c>
    </row>
    <row r="21" spans="1:12" s="40" customFormat="1" ht="12" customHeight="1" x14ac:dyDescent="0.4">
      <c r="D21" s="41" t="s">
        <v>127</v>
      </c>
      <c r="E21" s="48">
        <v>12</v>
      </c>
    </row>
    <row r="22" spans="1:12" s="40" customFormat="1" ht="12" customHeight="1" x14ac:dyDescent="0.4"/>
    <row r="23" spans="1:12" s="40" customFormat="1" ht="12" customHeight="1" x14ac:dyDescent="0.4">
      <c r="I23" s="49">
        <v>2</v>
      </c>
    </row>
    <row r="24" spans="1:12" s="40" customFormat="1" ht="12" customHeight="1" x14ac:dyDescent="0.4"/>
    <row r="25" spans="1:12" ht="12" customHeight="1" x14ac:dyDescent="0.4">
      <c r="A25" s="31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</row>
    <row r="26" spans="1:12" ht="15" customHeight="1" x14ac:dyDescent="0.4">
      <c r="A26" s="83">
        <v>1</v>
      </c>
      <c r="B26" s="84" t="s">
        <v>121</v>
      </c>
      <c r="C26" s="85"/>
      <c r="D26" s="85"/>
      <c r="E26" s="85"/>
      <c r="F26" s="85"/>
      <c r="G26" s="85"/>
      <c r="H26" s="85"/>
      <c r="I26" s="85"/>
      <c r="J26" s="85"/>
      <c r="K26" s="85"/>
      <c r="L26" s="86"/>
    </row>
    <row r="27" spans="1:12" ht="15" customHeight="1" x14ac:dyDescent="0.4">
      <c r="A27" s="123" t="s">
        <v>186</v>
      </c>
      <c r="B27" s="113"/>
      <c r="C27" s="114"/>
      <c r="D27" s="113" t="s">
        <v>184</v>
      </c>
      <c r="E27" s="114">
        <v>0.75</v>
      </c>
      <c r="F27" s="114" t="s">
        <v>102</v>
      </c>
      <c r="G27" s="114">
        <v>3000</v>
      </c>
      <c r="H27" s="114" t="s">
        <v>94</v>
      </c>
      <c r="I27" s="114" t="s">
        <v>185</v>
      </c>
      <c r="J27" s="114"/>
      <c r="K27" s="114"/>
      <c r="L27" s="36"/>
    </row>
    <row r="28" spans="1:12" ht="15" customHeight="1" x14ac:dyDescent="0.4">
      <c r="A28" s="35" t="s">
        <v>157</v>
      </c>
      <c r="B28" s="113" t="s">
        <v>189</v>
      </c>
      <c r="C28" s="114" t="s">
        <v>159</v>
      </c>
      <c r="D28" s="113" t="s">
        <v>160</v>
      </c>
      <c r="E28" s="114" t="s">
        <v>161</v>
      </c>
      <c r="F28" s="114" t="s">
        <v>162</v>
      </c>
      <c r="G28" s="114" t="s">
        <v>163</v>
      </c>
      <c r="H28" s="114" t="s">
        <v>164</v>
      </c>
      <c r="I28" s="114" t="s">
        <v>165</v>
      </c>
      <c r="J28" s="114"/>
      <c r="K28" s="114" t="s">
        <v>166</v>
      </c>
      <c r="L28" s="36" t="s">
        <v>182</v>
      </c>
    </row>
    <row r="29" spans="1:12" ht="15" customHeight="1" x14ac:dyDescent="0.4">
      <c r="A29" s="88">
        <v>355</v>
      </c>
      <c r="B29" s="64">
        <v>1.1499999999999999</v>
      </c>
      <c r="C29" s="65">
        <v>222.39999999999998</v>
      </c>
      <c r="D29" s="37">
        <v>1.3</v>
      </c>
      <c r="E29" s="38">
        <v>169.75416250000001</v>
      </c>
      <c r="F29" s="90">
        <v>0.75</v>
      </c>
      <c r="G29" s="90">
        <v>4</v>
      </c>
      <c r="H29" s="37">
        <v>12</v>
      </c>
      <c r="I29" s="37">
        <v>1</v>
      </c>
      <c r="J29" s="37"/>
      <c r="K29" s="38">
        <v>763.28310476618719</v>
      </c>
      <c r="L29" s="89">
        <v>34.148709460239559</v>
      </c>
    </row>
    <row r="30" spans="1:12" s="119" customFormat="1" ht="15" customHeight="1" x14ac:dyDescent="0.4">
      <c r="A30" s="114">
        <v>355</v>
      </c>
      <c r="B30" s="115">
        <v>1.1499999999999999</v>
      </c>
      <c r="C30" s="116">
        <v>222.39999999999998</v>
      </c>
      <c r="D30" s="114">
        <v>1.3</v>
      </c>
      <c r="E30" s="117">
        <v>169.75416250000001</v>
      </c>
      <c r="F30" s="117">
        <v>0.75</v>
      </c>
      <c r="G30" s="114">
        <v>4</v>
      </c>
      <c r="H30" s="114">
        <v>12</v>
      </c>
      <c r="I30" s="114">
        <v>1</v>
      </c>
      <c r="J30" s="114"/>
      <c r="K30" s="117">
        <v>763.28310476618719</v>
      </c>
      <c r="L30" s="117">
        <v>34.148709460239559</v>
      </c>
    </row>
    <row r="31" spans="1:12" s="119" customFormat="1" ht="15" customHeight="1" x14ac:dyDescent="0.4">
      <c r="A31" s="83">
        <v>2</v>
      </c>
      <c r="B31" s="84" t="s">
        <v>121</v>
      </c>
      <c r="C31" s="85"/>
      <c r="D31" s="85"/>
      <c r="E31" s="85"/>
      <c r="F31" s="85"/>
      <c r="G31" s="85"/>
      <c r="H31" s="85"/>
      <c r="I31" s="85"/>
      <c r="J31" s="85"/>
      <c r="K31" s="85"/>
      <c r="L31" s="86"/>
    </row>
    <row r="32" spans="1:12" s="119" customFormat="1" ht="15" customHeight="1" x14ac:dyDescent="0.4">
      <c r="A32" s="123" t="s">
        <v>186</v>
      </c>
      <c r="B32" s="113"/>
      <c r="C32" s="114"/>
      <c r="D32" s="113" t="s">
        <v>184</v>
      </c>
      <c r="E32" s="114">
        <v>0.75</v>
      </c>
      <c r="F32" s="114" t="s">
        <v>102</v>
      </c>
      <c r="G32" s="114">
        <f>250*12</f>
        <v>3000</v>
      </c>
      <c r="H32" s="114" t="s">
        <v>94</v>
      </c>
      <c r="I32" s="114" t="s">
        <v>185</v>
      </c>
      <c r="J32" s="114"/>
      <c r="K32" s="114"/>
      <c r="L32" s="36"/>
    </row>
    <row r="33" spans="1:12" s="119" customFormat="1" ht="15" customHeight="1" x14ac:dyDescent="0.4">
      <c r="A33" s="35" t="s">
        <v>157</v>
      </c>
      <c r="B33" s="113" t="s">
        <v>189</v>
      </c>
      <c r="C33" s="114" t="s">
        <v>159</v>
      </c>
      <c r="D33" s="113" t="s">
        <v>160</v>
      </c>
      <c r="E33" s="114" t="s">
        <v>161</v>
      </c>
      <c r="F33" s="114" t="s">
        <v>162</v>
      </c>
      <c r="G33" s="114" t="s">
        <v>163</v>
      </c>
      <c r="H33" s="114" t="s">
        <v>164</v>
      </c>
      <c r="I33" s="114" t="s">
        <v>165</v>
      </c>
      <c r="J33" s="114"/>
      <c r="K33" s="114" t="s">
        <v>166</v>
      </c>
      <c r="L33" s="36" t="s">
        <v>182</v>
      </c>
    </row>
    <row r="34" spans="1:12" s="119" customFormat="1" ht="15" customHeight="1" x14ac:dyDescent="0.4">
      <c r="A34" s="88">
        <v>355</v>
      </c>
      <c r="B34" s="64">
        <v>1.1499999999999999</v>
      </c>
      <c r="C34" s="65">
        <v>222.39999999999998</v>
      </c>
      <c r="D34" s="37">
        <v>1.3</v>
      </c>
      <c r="E34" s="38">
        <v>169.75416250000001</v>
      </c>
      <c r="F34" s="90">
        <v>0.75</v>
      </c>
      <c r="G34" s="90">
        <v>4</v>
      </c>
      <c r="H34" s="37">
        <v>12</v>
      </c>
      <c r="I34" s="37">
        <v>1</v>
      </c>
      <c r="J34" s="37"/>
      <c r="K34" s="38">
        <v>763.28310476618719</v>
      </c>
      <c r="L34" s="89">
        <v>34.148709460239559</v>
      </c>
    </row>
    <row r="35" spans="1:12" s="119" customFormat="1" ht="15" customHeight="1" x14ac:dyDescent="0.4">
      <c r="A35" s="114">
        <v>355</v>
      </c>
      <c r="B35" s="115">
        <v>1.1499999999999999</v>
      </c>
      <c r="C35" s="116">
        <v>222.39999999999998</v>
      </c>
      <c r="D35" s="114">
        <v>1.3</v>
      </c>
      <c r="E35" s="117">
        <v>169.75416250000001</v>
      </c>
      <c r="F35" s="117">
        <v>0.75</v>
      </c>
      <c r="G35" s="114">
        <v>4</v>
      </c>
      <c r="H35" s="114">
        <v>12</v>
      </c>
      <c r="I35" s="114">
        <v>1</v>
      </c>
      <c r="J35" s="114"/>
      <c r="K35" s="117">
        <v>763.28310476618719</v>
      </c>
      <c r="L35" s="117">
        <v>34.148709460239559</v>
      </c>
    </row>
    <row r="36" spans="1:12" s="119" customFormat="1" ht="15" customHeight="1" x14ac:dyDescent="0.4">
      <c r="A36" s="83">
        <v>3</v>
      </c>
      <c r="B36" s="84" t="s">
        <v>121</v>
      </c>
      <c r="C36" s="85"/>
      <c r="D36" s="85"/>
      <c r="E36" s="85"/>
      <c r="F36" s="85"/>
      <c r="G36" s="85"/>
      <c r="H36" s="85"/>
      <c r="I36" s="85"/>
      <c r="J36" s="85"/>
      <c r="K36" s="85"/>
      <c r="L36" s="86"/>
    </row>
    <row r="37" spans="1:12" s="119" customFormat="1" ht="15" customHeight="1" x14ac:dyDescent="0.4">
      <c r="A37" s="123" t="s">
        <v>186</v>
      </c>
      <c r="B37" s="113"/>
      <c r="C37" s="114"/>
      <c r="D37" s="113" t="s">
        <v>184</v>
      </c>
      <c r="E37" s="114">
        <v>0.75</v>
      </c>
      <c r="F37" s="114" t="s">
        <v>102</v>
      </c>
      <c r="G37" s="114">
        <f>250*12</f>
        <v>3000</v>
      </c>
      <c r="H37" s="114" t="s">
        <v>94</v>
      </c>
      <c r="I37" s="114" t="s">
        <v>185</v>
      </c>
      <c r="J37" s="114"/>
      <c r="K37" s="114"/>
      <c r="L37" s="36"/>
    </row>
    <row r="38" spans="1:12" s="119" customFormat="1" ht="15" customHeight="1" x14ac:dyDescent="0.4">
      <c r="A38" s="35" t="s">
        <v>157</v>
      </c>
      <c r="B38" s="113" t="s">
        <v>189</v>
      </c>
      <c r="C38" s="114" t="s">
        <v>159</v>
      </c>
      <c r="D38" s="113" t="s">
        <v>160</v>
      </c>
      <c r="E38" s="114" t="s">
        <v>161</v>
      </c>
      <c r="F38" s="114" t="s">
        <v>162</v>
      </c>
      <c r="G38" s="114" t="s">
        <v>163</v>
      </c>
      <c r="H38" s="114" t="s">
        <v>164</v>
      </c>
      <c r="I38" s="114" t="s">
        <v>165</v>
      </c>
      <c r="J38" s="114"/>
      <c r="K38" s="114" t="s">
        <v>166</v>
      </c>
      <c r="L38" s="36" t="s">
        <v>182</v>
      </c>
    </row>
    <row r="39" spans="1:12" s="119" customFormat="1" ht="15" customHeight="1" x14ac:dyDescent="0.4">
      <c r="A39" s="88">
        <v>355</v>
      </c>
      <c r="B39" s="64">
        <v>1.1499999999999999</v>
      </c>
      <c r="C39" s="65">
        <v>222.39999999999998</v>
      </c>
      <c r="D39" s="37">
        <v>1.3</v>
      </c>
      <c r="E39" s="38">
        <v>169.75416250000001</v>
      </c>
      <c r="F39" s="90">
        <v>0.75</v>
      </c>
      <c r="G39" s="90">
        <v>4</v>
      </c>
      <c r="H39" s="37">
        <v>12</v>
      </c>
      <c r="I39" s="37">
        <v>1</v>
      </c>
      <c r="J39" s="37"/>
      <c r="K39" s="38">
        <v>763.28310476618719</v>
      </c>
      <c r="L39" s="89">
        <v>34.148709460239559</v>
      </c>
    </row>
    <row r="40" spans="1:12" s="119" customFormat="1" ht="15" customHeight="1" x14ac:dyDescent="0.4">
      <c r="A40" s="114">
        <v>355</v>
      </c>
      <c r="B40" s="115">
        <v>1.1499999999999999</v>
      </c>
      <c r="C40" s="116">
        <v>222.39999999999998</v>
      </c>
      <c r="D40" s="114">
        <v>1.3</v>
      </c>
      <c r="E40" s="117">
        <v>169.75416250000001</v>
      </c>
      <c r="F40" s="117">
        <v>0.75</v>
      </c>
      <c r="G40" s="114">
        <v>4</v>
      </c>
      <c r="H40" s="114">
        <v>12</v>
      </c>
      <c r="I40" s="114">
        <v>1</v>
      </c>
      <c r="J40" s="114"/>
      <c r="K40" s="117">
        <v>763.28310476618719</v>
      </c>
      <c r="L40" s="117">
        <v>34.148709460239559</v>
      </c>
    </row>
    <row r="41" spans="1:12" s="119" customFormat="1" ht="15" customHeight="1" x14ac:dyDescent="0.4">
      <c r="A41" s="83">
        <v>4</v>
      </c>
      <c r="B41" s="84" t="s">
        <v>121</v>
      </c>
      <c r="C41" s="85"/>
      <c r="D41" s="85"/>
      <c r="E41" s="85"/>
      <c r="F41" s="85"/>
      <c r="G41" s="85"/>
      <c r="H41" s="85"/>
      <c r="I41" s="85"/>
      <c r="J41" s="85"/>
      <c r="K41" s="85"/>
      <c r="L41" s="86"/>
    </row>
    <row r="42" spans="1:12" s="119" customFormat="1" ht="15" customHeight="1" x14ac:dyDescent="0.4">
      <c r="A42" s="123" t="s">
        <v>186</v>
      </c>
      <c r="B42" s="113"/>
      <c r="C42" s="114"/>
      <c r="D42" s="113" t="s">
        <v>184</v>
      </c>
      <c r="E42" s="114">
        <v>0.75</v>
      </c>
      <c r="F42" s="114" t="s">
        <v>102</v>
      </c>
      <c r="G42" s="114">
        <f>250*12</f>
        <v>3000</v>
      </c>
      <c r="H42" s="114" t="s">
        <v>94</v>
      </c>
      <c r="I42" s="114" t="s">
        <v>185</v>
      </c>
      <c r="J42" s="114"/>
      <c r="K42" s="114"/>
      <c r="L42" s="36"/>
    </row>
    <row r="43" spans="1:12" s="119" customFormat="1" ht="15" customHeight="1" x14ac:dyDescent="0.4">
      <c r="A43" s="35" t="s">
        <v>157</v>
      </c>
      <c r="B43" s="113" t="s">
        <v>189</v>
      </c>
      <c r="C43" s="114" t="s">
        <v>159</v>
      </c>
      <c r="D43" s="113" t="s">
        <v>160</v>
      </c>
      <c r="E43" s="114" t="s">
        <v>161</v>
      </c>
      <c r="F43" s="114" t="s">
        <v>162</v>
      </c>
      <c r="G43" s="114" t="s">
        <v>163</v>
      </c>
      <c r="H43" s="114" t="s">
        <v>164</v>
      </c>
      <c r="I43" s="114" t="s">
        <v>165</v>
      </c>
      <c r="J43" s="114"/>
      <c r="K43" s="114" t="s">
        <v>166</v>
      </c>
      <c r="L43" s="36" t="s">
        <v>182</v>
      </c>
    </row>
    <row r="44" spans="1:12" s="119" customFormat="1" ht="15" customHeight="1" x14ac:dyDescent="0.4">
      <c r="A44" s="88">
        <v>355</v>
      </c>
      <c r="B44" s="64">
        <v>1.1499999999999999</v>
      </c>
      <c r="C44" s="65">
        <v>222.39999999999998</v>
      </c>
      <c r="D44" s="37">
        <v>1.3</v>
      </c>
      <c r="E44" s="38">
        <v>169.75416250000001</v>
      </c>
      <c r="F44" s="90">
        <v>0.75</v>
      </c>
      <c r="G44" s="90">
        <v>4</v>
      </c>
      <c r="H44" s="37">
        <v>12</v>
      </c>
      <c r="I44" s="37">
        <v>1</v>
      </c>
      <c r="J44" s="37"/>
      <c r="K44" s="38">
        <v>763.28310476618719</v>
      </c>
      <c r="L44" s="89">
        <v>34.148709460239559</v>
      </c>
    </row>
    <row r="45" spans="1:12" s="119" customFormat="1" ht="15" customHeight="1" x14ac:dyDescent="0.4">
      <c r="A45" s="114">
        <v>355</v>
      </c>
      <c r="B45" s="115">
        <v>1.1499999999999999</v>
      </c>
      <c r="C45" s="116">
        <v>222.39999999999998</v>
      </c>
      <c r="D45" s="114">
        <v>1.3</v>
      </c>
      <c r="E45" s="117">
        <v>169.75416250000001</v>
      </c>
      <c r="F45" s="117">
        <v>0.75</v>
      </c>
      <c r="G45" s="114">
        <v>4</v>
      </c>
      <c r="H45" s="114">
        <v>12</v>
      </c>
      <c r="I45" s="114">
        <v>1</v>
      </c>
      <c r="J45" s="114"/>
      <c r="K45" s="117">
        <v>763.28310476618719</v>
      </c>
      <c r="L45" s="117">
        <v>34.148709460239559</v>
      </c>
    </row>
    <row r="46" spans="1:12" s="119" customFormat="1" ht="15" customHeight="1" x14ac:dyDescent="0.4">
      <c r="A46" s="114"/>
      <c r="B46" s="120"/>
      <c r="C46" s="120"/>
      <c r="D46" s="120"/>
      <c r="E46" s="120"/>
      <c r="F46" s="120"/>
      <c r="G46" s="120"/>
      <c r="H46" s="120"/>
      <c r="I46" s="120"/>
      <c r="J46" s="120"/>
      <c r="K46" s="120"/>
      <c r="L46" s="120"/>
    </row>
    <row r="47" spans="1:12" s="119" customFormat="1" ht="15" customHeight="1" x14ac:dyDescent="0.4">
      <c r="A47" s="114"/>
      <c r="B47" s="114"/>
      <c r="C47" s="115"/>
      <c r="D47" s="116"/>
      <c r="E47" s="114"/>
      <c r="F47" s="114"/>
      <c r="G47" s="114"/>
      <c r="H47" s="114"/>
      <c r="I47" s="114"/>
      <c r="J47" s="114"/>
      <c r="K47" s="114"/>
      <c r="L47" s="114"/>
    </row>
    <row r="48" spans="1:12" s="119" customFormat="1" ht="15" customHeight="1" x14ac:dyDescent="0.4">
      <c r="A48" s="114"/>
      <c r="B48" s="114"/>
      <c r="C48" s="114"/>
      <c r="D48" s="117"/>
      <c r="E48" s="114"/>
      <c r="F48" s="117"/>
      <c r="G48" s="121"/>
      <c r="H48" s="121"/>
      <c r="I48" s="122"/>
      <c r="J48" s="122"/>
      <c r="K48" s="122"/>
      <c r="L48" s="122"/>
    </row>
    <row r="49" spans="1:12" s="119" customFormat="1" ht="15" customHeight="1" x14ac:dyDescent="0.4">
      <c r="A49" s="114"/>
      <c r="B49" s="120"/>
      <c r="C49" s="120"/>
      <c r="D49" s="120"/>
      <c r="E49" s="120"/>
      <c r="F49" s="120"/>
      <c r="G49" s="120"/>
      <c r="H49" s="120"/>
      <c r="I49" s="120"/>
      <c r="J49" s="120"/>
      <c r="K49" s="120"/>
      <c r="L49" s="120"/>
    </row>
    <row r="50" spans="1:12" s="119" customFormat="1" ht="15" customHeight="1" x14ac:dyDescent="0.4">
      <c r="A50" s="114"/>
      <c r="B50" s="114"/>
      <c r="C50" s="115"/>
      <c r="D50" s="116"/>
      <c r="E50" s="114"/>
      <c r="F50" s="114"/>
      <c r="G50" s="114"/>
      <c r="H50" s="114"/>
      <c r="I50" s="114"/>
      <c r="J50" s="114"/>
      <c r="K50" s="114"/>
      <c r="L50" s="114"/>
    </row>
    <row r="51" spans="1:12" s="119" customFormat="1" ht="15" customHeight="1" x14ac:dyDescent="0.4">
      <c r="A51" s="114"/>
      <c r="B51" s="114"/>
      <c r="C51" s="114"/>
      <c r="D51" s="117"/>
      <c r="E51" s="114"/>
      <c r="F51" s="117"/>
      <c r="G51" s="121"/>
      <c r="H51" s="121"/>
      <c r="I51" s="122"/>
      <c r="J51" s="122"/>
      <c r="K51" s="122"/>
      <c r="L51" s="122"/>
    </row>
    <row r="52" spans="1:12" s="119" customFormat="1" ht="15" customHeight="1" x14ac:dyDescent="0.4">
      <c r="A52" s="114"/>
      <c r="B52" s="120"/>
      <c r="C52" s="120"/>
      <c r="D52" s="120"/>
      <c r="E52" s="120"/>
      <c r="F52" s="120"/>
      <c r="G52" s="120"/>
      <c r="H52" s="120"/>
      <c r="I52" s="120"/>
      <c r="J52" s="120"/>
      <c r="K52" s="120"/>
      <c r="L52" s="120"/>
    </row>
    <row r="53" spans="1:12" s="119" customFormat="1" ht="15" customHeight="1" x14ac:dyDescent="0.4">
      <c r="A53" s="114"/>
      <c r="B53" s="114"/>
      <c r="C53" s="115"/>
      <c r="D53" s="116"/>
      <c r="E53" s="114"/>
      <c r="F53" s="114"/>
      <c r="G53" s="114"/>
      <c r="H53" s="114"/>
      <c r="I53" s="114"/>
      <c r="J53" s="114"/>
      <c r="K53" s="114"/>
      <c r="L53" s="114"/>
    </row>
    <row r="54" spans="1:12" s="119" customFormat="1" ht="15" customHeight="1" x14ac:dyDescent="0.4">
      <c r="A54" s="114"/>
      <c r="B54" s="114"/>
      <c r="C54" s="114"/>
      <c r="D54" s="117"/>
      <c r="E54" s="114"/>
      <c r="F54" s="117"/>
      <c r="G54" s="121"/>
      <c r="H54" s="121"/>
      <c r="I54" s="122"/>
      <c r="J54" s="122"/>
      <c r="K54" s="122"/>
      <c r="L54" s="122"/>
    </row>
    <row r="55" spans="1:12" s="119" customFormat="1" ht="15" customHeight="1" x14ac:dyDescent="0.4"/>
    <row r="56" spans="1:12" s="119" customFormat="1" ht="15" customHeight="1" x14ac:dyDescent="0.4"/>
    <row r="57" spans="1:12" s="119" customFormat="1" ht="15" customHeight="1" x14ac:dyDescent="0.4"/>
    <row r="58" spans="1:12" s="119" customFormat="1" ht="15" customHeight="1" x14ac:dyDescent="0.4"/>
    <row r="59" spans="1:12" s="119" customFormat="1" ht="15" customHeight="1" x14ac:dyDescent="0.4"/>
    <row r="60" spans="1:12" s="119" customFormat="1" ht="15" customHeight="1" x14ac:dyDescent="0.4">
      <c r="A60" s="114"/>
      <c r="B60" s="118"/>
      <c r="C60" s="114"/>
      <c r="D60" s="114"/>
      <c r="E60" s="114"/>
      <c r="F60" s="114"/>
      <c r="G60" s="114"/>
      <c r="H60" s="114"/>
      <c r="I60" s="114"/>
      <c r="J60" s="114"/>
      <c r="K60" s="114"/>
      <c r="L60" s="114"/>
    </row>
    <row r="61" spans="1:12" s="119" customFormat="1" ht="15" customHeight="1" x14ac:dyDescent="0.4">
      <c r="A61" s="114"/>
      <c r="B61" s="113"/>
      <c r="C61" s="114"/>
      <c r="D61" s="113"/>
      <c r="E61" s="114"/>
      <c r="F61" s="114"/>
      <c r="G61" s="114"/>
      <c r="H61" s="114"/>
      <c r="I61" s="114"/>
      <c r="J61" s="114"/>
      <c r="K61" s="114"/>
      <c r="L61" s="114"/>
    </row>
    <row r="62" spans="1:12" s="119" customFormat="1" ht="15" customHeight="1" x14ac:dyDescent="0.4">
      <c r="A62" s="114"/>
      <c r="B62" s="115"/>
      <c r="C62" s="116"/>
      <c r="D62" s="114"/>
      <c r="E62" s="117"/>
      <c r="F62" s="117"/>
      <c r="G62" s="114"/>
      <c r="H62" s="114"/>
      <c r="I62" s="114"/>
      <c r="J62" s="114"/>
      <c r="K62" s="117"/>
      <c r="L62" s="117"/>
    </row>
    <row r="63" spans="1:12" s="119" customFormat="1" ht="15" customHeight="1" x14ac:dyDescent="0.4">
      <c r="A63" s="114"/>
      <c r="B63" s="118"/>
      <c r="C63" s="114"/>
      <c r="D63" s="114"/>
      <c r="E63" s="114"/>
      <c r="F63" s="114"/>
      <c r="G63" s="114"/>
      <c r="H63" s="114"/>
      <c r="I63" s="114"/>
      <c r="J63" s="114"/>
      <c r="K63" s="114"/>
      <c r="L63" s="114"/>
    </row>
    <row r="64" spans="1:12" s="119" customFormat="1" ht="15" customHeight="1" x14ac:dyDescent="0.4">
      <c r="A64" s="114"/>
      <c r="B64" s="114"/>
      <c r="C64" s="114"/>
      <c r="D64" s="114"/>
      <c r="E64" s="114"/>
      <c r="F64" s="114"/>
      <c r="G64" s="114"/>
      <c r="H64" s="114"/>
      <c r="I64" s="114"/>
      <c r="J64" s="114"/>
      <c r="K64" s="114"/>
      <c r="L64" s="114"/>
    </row>
    <row r="65" s="119" customFormat="1" ht="15" customHeight="1" x14ac:dyDescent="0.4"/>
    <row r="66" s="119" customFormat="1" ht="15" customHeight="1" x14ac:dyDescent="0.4"/>
    <row r="67" s="119" customFormat="1" ht="15" customHeight="1" x14ac:dyDescent="0.4"/>
    <row r="68" s="119" customFormat="1" ht="15" customHeight="1" x14ac:dyDescent="0.4"/>
    <row r="69" ht="15" customHeight="1" x14ac:dyDescent="0.4"/>
    <row r="70" ht="15" customHeight="1" x14ac:dyDescent="0.4"/>
    <row r="71" ht="15" customHeight="1" x14ac:dyDescent="0.4"/>
    <row r="72" ht="15" customHeight="1" x14ac:dyDescent="0.4"/>
    <row r="73" ht="15" customHeight="1" x14ac:dyDescent="0.4"/>
    <row r="74" ht="15" customHeight="1" x14ac:dyDescent="0.4"/>
    <row r="75" ht="15" customHeight="1" x14ac:dyDescent="0.4"/>
    <row r="76" ht="15" customHeight="1" x14ac:dyDescent="0.4"/>
    <row r="77" ht="15" customHeight="1" x14ac:dyDescent="0.4"/>
    <row r="78" ht="15" customHeight="1" x14ac:dyDescent="0.4"/>
    <row r="79" ht="15" customHeight="1" x14ac:dyDescent="0.4"/>
    <row r="80" ht="15" customHeight="1" x14ac:dyDescent="0.4"/>
    <row r="81" ht="15" customHeight="1" x14ac:dyDescent="0.4"/>
    <row r="82" ht="15" customHeight="1" x14ac:dyDescent="0.4"/>
    <row r="83" ht="15" customHeight="1" x14ac:dyDescent="0.4"/>
    <row r="84" ht="15" customHeight="1" x14ac:dyDescent="0.4"/>
    <row r="85" ht="15" customHeight="1" x14ac:dyDescent="0.4"/>
    <row r="86" ht="15" customHeight="1" x14ac:dyDescent="0.4"/>
    <row r="87" ht="15" customHeight="1" x14ac:dyDescent="0.4"/>
    <row r="88" ht="15" customHeight="1" x14ac:dyDescent="0.4"/>
    <row r="89" ht="15" customHeight="1" x14ac:dyDescent="0.4"/>
    <row r="90" ht="15" customHeight="1" x14ac:dyDescent="0.4"/>
    <row r="91" ht="15" customHeight="1" x14ac:dyDescent="0.4"/>
    <row r="92" ht="15" customHeight="1" x14ac:dyDescent="0.4"/>
    <row r="93" ht="15" customHeight="1" x14ac:dyDescent="0.4"/>
    <row r="94" ht="15" customHeight="1" x14ac:dyDescent="0.4"/>
    <row r="95" ht="15" customHeight="1" x14ac:dyDescent="0.4"/>
    <row r="96" ht="15" customHeight="1" x14ac:dyDescent="0.4"/>
    <row r="97" ht="15" customHeight="1" x14ac:dyDescent="0.4"/>
    <row r="98" ht="15" customHeight="1" x14ac:dyDescent="0.4"/>
    <row r="99" ht="15" customHeight="1" x14ac:dyDescent="0.4"/>
    <row r="100" ht="15" customHeight="1" x14ac:dyDescent="0.4"/>
    <row r="101" ht="15" customHeight="1" x14ac:dyDescent="0.4"/>
    <row r="102" ht="15" customHeight="1" x14ac:dyDescent="0.4"/>
    <row r="103" ht="15" customHeight="1" x14ac:dyDescent="0.4"/>
    <row r="104" ht="15" customHeight="1" x14ac:dyDescent="0.4"/>
    <row r="105" ht="15" customHeight="1" x14ac:dyDescent="0.4"/>
    <row r="106" ht="15" customHeight="1" x14ac:dyDescent="0.4"/>
    <row r="107" ht="15" customHeight="1" x14ac:dyDescent="0.4"/>
    <row r="108" ht="15" customHeight="1" x14ac:dyDescent="0.4"/>
    <row r="109" ht="15" customHeight="1" x14ac:dyDescent="0.4"/>
    <row r="110" ht="15" customHeight="1" x14ac:dyDescent="0.4"/>
    <row r="111" ht="15" customHeight="1" x14ac:dyDescent="0.4"/>
    <row r="112" ht="15" customHeight="1" x14ac:dyDescent="0.4"/>
    <row r="113" ht="15" customHeight="1" x14ac:dyDescent="0.4"/>
    <row r="114" ht="15" customHeight="1" x14ac:dyDescent="0.4"/>
    <row r="115" ht="15" customHeight="1" x14ac:dyDescent="0.4"/>
    <row r="116" ht="15" customHeight="1" x14ac:dyDescent="0.4"/>
    <row r="117" ht="15" customHeight="1" x14ac:dyDescent="0.4"/>
    <row r="409" spans="1:12" ht="12" customHeight="1" x14ac:dyDescent="0.4">
      <c r="A409"/>
      <c r="B409"/>
      <c r="C409"/>
      <c r="D409"/>
      <c r="E409"/>
      <c r="F409"/>
      <c r="G409"/>
      <c r="H409"/>
      <c r="I409"/>
      <c r="J409"/>
      <c r="K409"/>
      <c r="L409"/>
    </row>
    <row r="410" spans="1:12" ht="12" customHeight="1" x14ac:dyDescent="0.4">
      <c r="A410"/>
      <c r="B410"/>
      <c r="C410"/>
      <c r="D410"/>
      <c r="E410"/>
      <c r="F410"/>
      <c r="G410"/>
      <c r="H410"/>
      <c r="I410"/>
      <c r="J410"/>
      <c r="K410"/>
      <c r="L410"/>
    </row>
    <row r="411" spans="1:12" ht="12" customHeight="1" x14ac:dyDescent="0.4">
      <c r="A411"/>
      <c r="B411"/>
      <c r="C411"/>
      <c r="D411"/>
      <c r="E411"/>
      <c r="F411"/>
      <c r="G411"/>
      <c r="H411"/>
      <c r="I411"/>
      <c r="J411"/>
      <c r="K411"/>
      <c r="L411"/>
    </row>
    <row r="481" spans="1:12" ht="12" customHeight="1" x14ac:dyDescent="0.4">
      <c r="A481"/>
      <c r="B481"/>
      <c r="C481"/>
      <c r="D481"/>
      <c r="E481"/>
      <c r="F481"/>
      <c r="G481"/>
      <c r="H481"/>
      <c r="I481"/>
      <c r="J481"/>
      <c r="K481"/>
      <c r="L481"/>
    </row>
    <row r="482" spans="1:12" ht="12" customHeight="1" x14ac:dyDescent="0.4">
      <c r="A482"/>
      <c r="B482"/>
      <c r="C482"/>
      <c r="D482"/>
      <c r="E482"/>
      <c r="F482"/>
      <c r="G482"/>
      <c r="H482"/>
      <c r="I482"/>
      <c r="J482"/>
      <c r="K482"/>
      <c r="L482"/>
    </row>
    <row r="483" spans="1:12" ht="12" customHeight="1" x14ac:dyDescent="0.4">
      <c r="A483"/>
      <c r="B483"/>
      <c r="C483"/>
      <c r="D483"/>
      <c r="E483"/>
      <c r="F483"/>
      <c r="G483"/>
      <c r="H483"/>
      <c r="I483"/>
      <c r="J483"/>
      <c r="K483"/>
      <c r="L483"/>
    </row>
  </sheetData>
  <mergeCells count="2">
    <mergeCell ref="E4:L5"/>
    <mergeCell ref="C7:J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culator2_Click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8</xdr:col>
                    <xdr:colOff>0</xdr:colOff>
                    <xdr:row>22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1]!Delete_Click">
                <anchor moveWithCells="1" sizeWithCells="1">
                  <from>
                    <xdr:col>9</xdr:col>
                    <xdr:colOff>0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1]!CleaeAll_Click">
                <anchor moveWithCells="1" siz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1]!CleaeAll_Click">
                <anchor moveWithCells="1" sizeWithCells="1">
                  <from>
                    <xdr:col>10</xdr:col>
                    <xdr:colOff>502920</xdr:colOff>
                    <xdr:row>22</xdr:row>
                    <xdr:rowOff>0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E483B-1479-47A6-83D5-5B48BA336FDD}">
  <sheetPr codeName="Sheet8"/>
  <dimension ref="A1:R484"/>
  <sheetViews>
    <sheetView topLeftCell="A22" zoomScale="205" zoomScaleNormal="205" workbookViewId="0">
      <selection activeCell="E37" sqref="E37"/>
    </sheetView>
  </sheetViews>
  <sheetFormatPr defaultColWidth="0" defaultRowHeight="12" customHeight="1" x14ac:dyDescent="0.4"/>
  <cols>
    <col min="1" max="12" width="6.59765625" style="26" customWidth="1"/>
    <col min="13" max="18" width="0" style="26" hidden="1" customWidth="1"/>
    <col min="19" max="16384" width="6.59765625" style="26" hidden="1"/>
  </cols>
  <sheetData>
    <row r="1" spans="1:12" ht="12" customHeight="1" x14ac:dyDescent="0.4">
      <c r="A1" s="27"/>
      <c r="B1" s="27"/>
      <c r="C1" s="27"/>
      <c r="D1" s="27"/>
    </row>
    <row r="2" spans="1:12" ht="12" customHeight="1" x14ac:dyDescent="0.4">
      <c r="A2" s="27"/>
      <c r="B2" s="27"/>
      <c r="C2" s="27"/>
      <c r="D2" s="27"/>
    </row>
    <row r="3" spans="1:12" ht="12" customHeight="1" x14ac:dyDescent="0.4">
      <c r="A3" s="27"/>
      <c r="B3" s="27"/>
      <c r="C3" s="27"/>
      <c r="D3" s="27"/>
    </row>
    <row r="4" spans="1:12" ht="12" customHeight="1" x14ac:dyDescent="0.4">
      <c r="A4" s="27"/>
      <c r="B4" s="27"/>
      <c r="C4" s="27"/>
      <c r="D4" s="27"/>
      <c r="E4" s="110"/>
      <c r="F4" s="110"/>
      <c r="G4" s="110"/>
      <c r="H4" s="110"/>
      <c r="I4" s="110"/>
      <c r="J4" s="110"/>
      <c r="K4" s="110"/>
      <c r="L4" s="110"/>
    </row>
    <row r="5" spans="1:12" ht="12" customHeight="1" x14ac:dyDescent="0.4">
      <c r="A5" s="27"/>
      <c r="B5" s="27"/>
      <c r="C5" s="27"/>
      <c r="D5" s="27"/>
      <c r="E5" s="110"/>
      <c r="F5" s="110"/>
      <c r="G5" s="110"/>
      <c r="H5" s="110"/>
      <c r="I5" s="110"/>
      <c r="J5" s="110"/>
      <c r="K5" s="110"/>
      <c r="L5" s="110"/>
    </row>
    <row r="7" spans="1:12" ht="12" customHeight="1" x14ac:dyDescent="0.4">
      <c r="A7" s="28" t="s">
        <v>105</v>
      </c>
      <c r="C7" s="112" t="s">
        <v>169</v>
      </c>
      <c r="D7" s="112"/>
      <c r="E7" s="112"/>
      <c r="F7" s="112"/>
      <c r="G7" s="112"/>
      <c r="H7" s="112"/>
      <c r="I7" s="112"/>
      <c r="J7" s="112"/>
    </row>
    <row r="8" spans="1:12" s="40" customFormat="1" ht="12" customHeight="1" x14ac:dyDescent="0.4">
      <c r="A8" s="40" t="s">
        <v>107</v>
      </c>
      <c r="C8" s="41" t="s">
        <v>106</v>
      </c>
      <c r="D8" s="41"/>
      <c r="E8" s="52">
        <v>10.5</v>
      </c>
      <c r="F8" s="42" t="s">
        <v>21</v>
      </c>
    </row>
    <row r="9" spans="1:12" s="40" customFormat="1" ht="14.25" customHeight="1" x14ac:dyDescent="0.4">
      <c r="C9" s="41"/>
      <c r="D9" s="43" t="s">
        <v>122</v>
      </c>
      <c r="E9" s="40">
        <v>1.3</v>
      </c>
      <c r="F9" s="42"/>
    </row>
    <row r="10" spans="1:12" s="40" customFormat="1" ht="12" customHeight="1" x14ac:dyDescent="0.4">
      <c r="D10" s="39" t="s">
        <v>32</v>
      </c>
      <c r="E10" s="44">
        <f>(1.025*9.81*E8+25)*E9</f>
        <v>169.75416250000001</v>
      </c>
      <c r="F10" s="40" t="s">
        <v>123</v>
      </c>
    </row>
    <row r="11" spans="1:12" s="40" customFormat="1" ht="12" customHeight="1" x14ac:dyDescent="0.4">
      <c r="D11" s="39" t="s">
        <v>170</v>
      </c>
      <c r="E11" s="82"/>
    </row>
    <row r="12" spans="1:12" s="40" customFormat="1" ht="12" customHeight="1" x14ac:dyDescent="0.4">
      <c r="D12" s="39" t="s">
        <v>171</v>
      </c>
      <c r="E12" s="82"/>
    </row>
    <row r="13" spans="1:12" s="40" customFormat="1" ht="12" customHeight="1" x14ac:dyDescent="0.4">
      <c r="D13" s="39"/>
      <c r="E13" s="39"/>
    </row>
    <row r="14" spans="1:12" s="40" customFormat="1" ht="12" customHeight="1" x14ac:dyDescent="0.4">
      <c r="A14" s="40" t="s">
        <v>109</v>
      </c>
      <c r="E14" s="50" t="s">
        <v>113</v>
      </c>
    </row>
    <row r="15" spans="1:12" s="40" customFormat="1" ht="12" customHeight="1" x14ac:dyDescent="0.4">
      <c r="A15" s="40" t="s">
        <v>156</v>
      </c>
      <c r="E15" s="82">
        <f>VLOOKUP(E14,[1]Front!E3:H7,2,FALSE)</f>
        <v>355</v>
      </c>
    </row>
    <row r="16" spans="1:12" s="40" customFormat="1" ht="12" customHeight="1" x14ac:dyDescent="0.4">
      <c r="A16" s="40" t="s">
        <v>120</v>
      </c>
      <c r="B16" s="41"/>
      <c r="C16" s="41">
        <v>160</v>
      </c>
      <c r="D16" s="41" t="s">
        <v>108</v>
      </c>
      <c r="E16" s="45">
        <f>C16*VLOOKUP(E14,[1]Front!E3:H7,3,FALSE)</f>
        <v>222.39999999999998</v>
      </c>
      <c r="F16" s="40" t="s">
        <v>124</v>
      </c>
    </row>
    <row r="17" spans="1:12" s="40" customFormat="1" ht="12" customHeight="1" x14ac:dyDescent="0.4">
      <c r="D17" s="46" t="s">
        <v>172</v>
      </c>
      <c r="E17" s="45">
        <f>0.5*VLOOKUP(E14,[1]Front!E3:H7,2,FALSE)/E18</f>
        <v>154.34782608695653</v>
      </c>
    </row>
    <row r="18" spans="1:12" s="40" customFormat="1" ht="12" customHeight="1" x14ac:dyDescent="0.4">
      <c r="D18" s="46" t="s">
        <v>125</v>
      </c>
      <c r="E18" s="39">
        <v>1.1499999999999999</v>
      </c>
    </row>
    <row r="19" spans="1:12" s="40" customFormat="1" ht="12" customHeight="1" x14ac:dyDescent="0.4"/>
    <row r="20" spans="1:12" s="40" customFormat="1" ht="12" customHeight="1" x14ac:dyDescent="0.4">
      <c r="D20" s="93" t="s">
        <v>173</v>
      </c>
      <c r="E20" s="94">
        <v>4</v>
      </c>
      <c r="F20" s="42" t="s">
        <v>21</v>
      </c>
    </row>
    <row r="21" spans="1:12" s="40" customFormat="1" ht="12" customHeight="1" x14ac:dyDescent="0.4">
      <c r="D21" s="93" t="s">
        <v>174</v>
      </c>
      <c r="E21" s="94">
        <v>12</v>
      </c>
      <c r="F21" s="42" t="s">
        <v>21</v>
      </c>
    </row>
    <row r="22" spans="1:12" s="40" customFormat="1" ht="12" customHeight="1" x14ac:dyDescent="0.4">
      <c r="D22" s="95" t="s">
        <v>127</v>
      </c>
      <c r="E22" s="96">
        <v>12</v>
      </c>
    </row>
    <row r="23" spans="1:12" s="40" customFormat="1" ht="12" customHeight="1" x14ac:dyDescent="0.4">
      <c r="A23" s="97"/>
      <c r="B23" s="98"/>
      <c r="C23" s="95"/>
      <c r="D23" s="95" t="s">
        <v>175</v>
      </c>
      <c r="E23" s="99">
        <v>0.5</v>
      </c>
      <c r="F23" s="95"/>
      <c r="G23" s="95"/>
      <c r="H23" s="95"/>
      <c r="I23" s="95"/>
      <c r="J23" s="95"/>
      <c r="K23" s="95"/>
      <c r="L23" s="100"/>
    </row>
    <row r="24" spans="1:12" s="40" customFormat="1" ht="12" customHeight="1" x14ac:dyDescent="0.4">
      <c r="A24" s="97"/>
      <c r="B24" s="101"/>
      <c r="C24" s="95"/>
      <c r="D24" s="101"/>
      <c r="E24" s="101"/>
      <c r="F24" s="95"/>
      <c r="G24" s="95"/>
      <c r="H24" s="95"/>
      <c r="I24" s="95">
        <v>6</v>
      </c>
      <c r="J24" s="95"/>
      <c r="K24" s="95"/>
      <c r="L24" s="100"/>
    </row>
    <row r="25" spans="1:12" s="40" customFormat="1" ht="12" customHeight="1" x14ac:dyDescent="0.4">
      <c r="A25" s="102"/>
      <c r="B25" s="103"/>
      <c r="C25" s="104"/>
      <c r="D25" s="105"/>
      <c r="E25" s="105"/>
      <c r="F25" s="106"/>
      <c r="G25" s="106"/>
      <c r="H25" s="105"/>
      <c r="I25" s="105"/>
      <c r="J25" s="105"/>
      <c r="K25" s="106"/>
      <c r="L25" s="107"/>
    </row>
    <row r="26" spans="1:12" ht="15" customHeight="1" x14ac:dyDescent="0.4">
      <c r="A26" s="35">
        <v>1</v>
      </c>
      <c r="B26" s="108" t="s">
        <v>121</v>
      </c>
      <c r="C26" s="55"/>
      <c r="D26" s="55"/>
      <c r="E26" s="55"/>
      <c r="F26" s="55"/>
      <c r="G26" s="55"/>
      <c r="H26" s="55"/>
      <c r="I26" s="55"/>
      <c r="J26" s="55"/>
      <c r="K26" s="55"/>
      <c r="L26" s="36"/>
    </row>
    <row r="27" spans="1:12" ht="15" customHeight="1" x14ac:dyDescent="0.4">
      <c r="A27" s="35" t="s">
        <v>157</v>
      </c>
      <c r="B27" s="87" t="s">
        <v>158</v>
      </c>
      <c r="C27" s="55" t="s">
        <v>159</v>
      </c>
      <c r="D27" s="87" t="s">
        <v>176</v>
      </c>
      <c r="E27" s="87" t="s">
        <v>160</v>
      </c>
      <c r="F27" s="55" t="s">
        <v>161</v>
      </c>
      <c r="G27" s="55" t="s">
        <v>177</v>
      </c>
      <c r="H27" s="55" t="s">
        <v>178</v>
      </c>
      <c r="I27" s="55" t="s">
        <v>164</v>
      </c>
      <c r="J27" s="55" t="s">
        <v>179</v>
      </c>
      <c r="K27" s="55" t="s">
        <v>180</v>
      </c>
      <c r="L27" s="36" t="s">
        <v>181</v>
      </c>
    </row>
    <row r="28" spans="1:12" ht="15" customHeight="1" x14ac:dyDescent="0.4">
      <c r="A28" s="88">
        <v>355</v>
      </c>
      <c r="B28" s="64">
        <v>1.1499999999999999</v>
      </c>
      <c r="C28" s="109">
        <v>222.39999999999998</v>
      </c>
      <c r="D28" s="38">
        <v>154.34782608695653</v>
      </c>
      <c r="E28" s="37">
        <v>1.3</v>
      </c>
      <c r="F28" s="38">
        <v>169.75416250000001</v>
      </c>
      <c r="G28" s="38">
        <v>4</v>
      </c>
      <c r="H28" s="37">
        <v>12</v>
      </c>
      <c r="I28" s="37">
        <v>12</v>
      </c>
      <c r="J28" s="37">
        <v>0.5</v>
      </c>
      <c r="K28" s="38">
        <v>36637.58902877698</v>
      </c>
      <c r="L28" s="89">
        <v>0</v>
      </c>
    </row>
    <row r="29" spans="1:12" ht="15" customHeight="1" x14ac:dyDescent="0.4">
      <c r="A29" s="35">
        <v>2</v>
      </c>
      <c r="B29" s="108" t="s">
        <v>121</v>
      </c>
      <c r="C29" s="55"/>
      <c r="D29" s="55"/>
      <c r="E29" s="55"/>
      <c r="F29" s="55"/>
      <c r="G29" s="55"/>
      <c r="H29" s="55"/>
      <c r="I29" s="55"/>
      <c r="J29" s="55"/>
      <c r="K29" s="55"/>
      <c r="L29" s="36"/>
    </row>
    <row r="30" spans="1:12" ht="15" customHeight="1" x14ac:dyDescent="0.4">
      <c r="A30" s="35" t="s">
        <v>157</v>
      </c>
      <c r="B30" s="87" t="s">
        <v>158</v>
      </c>
      <c r="C30" s="55" t="s">
        <v>159</v>
      </c>
      <c r="D30" s="87" t="s">
        <v>176</v>
      </c>
      <c r="E30" s="87" t="s">
        <v>160</v>
      </c>
      <c r="F30" s="55" t="s">
        <v>161</v>
      </c>
      <c r="G30" s="55" t="s">
        <v>177</v>
      </c>
      <c r="H30" s="55" t="s">
        <v>178</v>
      </c>
      <c r="I30" s="55" t="s">
        <v>164</v>
      </c>
      <c r="J30" s="55" t="s">
        <v>179</v>
      </c>
      <c r="K30" s="55" t="s">
        <v>180</v>
      </c>
      <c r="L30" s="36" t="s">
        <v>181</v>
      </c>
    </row>
    <row r="31" spans="1:12" ht="15" customHeight="1" x14ac:dyDescent="0.4">
      <c r="A31" s="88">
        <v>355</v>
      </c>
      <c r="B31" s="64">
        <v>1.1499999999999999</v>
      </c>
      <c r="C31" s="109">
        <v>222.39999999999998</v>
      </c>
      <c r="D31" s="38">
        <v>154.34782608695653</v>
      </c>
      <c r="E31" s="37">
        <v>1.3</v>
      </c>
      <c r="F31" s="38">
        <v>169.75416250000001</v>
      </c>
      <c r="G31" s="38">
        <v>4</v>
      </c>
      <c r="H31" s="37">
        <v>12</v>
      </c>
      <c r="I31" s="37">
        <v>12</v>
      </c>
      <c r="J31" s="37">
        <v>0.5</v>
      </c>
      <c r="K31" s="38">
        <v>36637.58902877698</v>
      </c>
      <c r="L31" s="89">
        <v>0</v>
      </c>
    </row>
    <row r="32" spans="1:12" ht="15" customHeight="1" x14ac:dyDescent="0.4">
      <c r="A32" s="35">
        <v>3</v>
      </c>
      <c r="B32" s="108" t="s">
        <v>121</v>
      </c>
      <c r="C32" s="55"/>
      <c r="D32" s="55"/>
      <c r="E32" s="55"/>
      <c r="F32" s="55"/>
      <c r="G32" s="55"/>
      <c r="H32" s="55"/>
      <c r="I32" s="55"/>
      <c r="J32" s="55"/>
      <c r="K32" s="55"/>
      <c r="L32" s="36"/>
    </row>
    <row r="33" spans="1:12" ht="15" customHeight="1" x14ac:dyDescent="0.4">
      <c r="A33" s="35" t="s">
        <v>157</v>
      </c>
      <c r="B33" s="87" t="s">
        <v>158</v>
      </c>
      <c r="C33" s="55" t="s">
        <v>159</v>
      </c>
      <c r="D33" s="87" t="s">
        <v>176</v>
      </c>
      <c r="E33" s="87" t="s">
        <v>160</v>
      </c>
      <c r="F33" s="55" t="s">
        <v>161</v>
      </c>
      <c r="G33" s="55" t="s">
        <v>177</v>
      </c>
      <c r="H33" s="55" t="s">
        <v>178</v>
      </c>
      <c r="I33" s="55" t="s">
        <v>164</v>
      </c>
      <c r="J33" s="55" t="s">
        <v>179</v>
      </c>
      <c r="K33" s="55" t="s">
        <v>180</v>
      </c>
      <c r="L33" s="36" t="s">
        <v>181</v>
      </c>
    </row>
    <row r="34" spans="1:12" ht="15" customHeight="1" x14ac:dyDescent="0.4">
      <c r="A34" s="88">
        <v>355</v>
      </c>
      <c r="B34" s="64">
        <v>1.1499999999999999</v>
      </c>
      <c r="C34" s="109">
        <v>222.39999999999998</v>
      </c>
      <c r="D34" s="38">
        <v>154.34782608695653</v>
      </c>
      <c r="E34" s="37">
        <v>1.3</v>
      </c>
      <c r="F34" s="38">
        <v>169.75416250000001</v>
      </c>
      <c r="G34" s="38">
        <v>4</v>
      </c>
      <c r="H34" s="37">
        <v>12</v>
      </c>
      <c r="I34" s="37">
        <v>12</v>
      </c>
      <c r="J34" s="37">
        <v>0.5</v>
      </c>
      <c r="K34" s="38">
        <v>36637.58902877698</v>
      </c>
      <c r="L34" s="89">
        <v>0</v>
      </c>
    </row>
    <row r="35" spans="1:12" ht="15" customHeight="1" x14ac:dyDescent="0.4">
      <c r="A35" s="83">
        <v>4</v>
      </c>
      <c r="B35" s="84" t="s">
        <v>121</v>
      </c>
      <c r="C35" s="85"/>
      <c r="D35" s="85"/>
      <c r="E35" s="85"/>
      <c r="F35" s="85"/>
      <c r="G35" s="85"/>
      <c r="H35" s="85"/>
      <c r="I35" s="85"/>
      <c r="J35" s="85"/>
      <c r="K35" s="85"/>
      <c r="L35" s="86"/>
    </row>
    <row r="36" spans="1:12" ht="15" customHeight="1" x14ac:dyDescent="0.4">
      <c r="A36" s="35" t="s">
        <v>157</v>
      </c>
      <c r="B36" s="55" t="s">
        <v>168</v>
      </c>
      <c r="C36" s="55" t="s">
        <v>159</v>
      </c>
      <c r="D36" s="55" t="s">
        <v>122</v>
      </c>
      <c r="E36" s="55" t="s">
        <v>161</v>
      </c>
      <c r="F36" s="55" t="s">
        <v>162</v>
      </c>
      <c r="G36" s="55" t="s">
        <v>163</v>
      </c>
      <c r="H36" s="55" t="s">
        <v>164</v>
      </c>
      <c r="I36" s="55" t="s">
        <v>165</v>
      </c>
      <c r="J36" s="55" t="s">
        <v>179</v>
      </c>
      <c r="K36" s="55" t="s">
        <v>166</v>
      </c>
      <c r="L36" s="36" t="s">
        <v>167</v>
      </c>
    </row>
    <row r="37" spans="1:12" ht="15" customHeight="1" x14ac:dyDescent="0.4">
      <c r="A37" s="88">
        <v>355</v>
      </c>
      <c r="B37" s="64">
        <v>1.1499999999999999</v>
      </c>
      <c r="C37" s="65">
        <v>222.39999999999998</v>
      </c>
      <c r="D37" s="37">
        <v>1.3</v>
      </c>
      <c r="E37" s="38">
        <v>169.75416250000001</v>
      </c>
      <c r="F37" s="38">
        <v>0.7</v>
      </c>
      <c r="G37" s="37">
        <v>4</v>
      </c>
      <c r="H37" s="37">
        <v>12</v>
      </c>
      <c r="I37" s="37">
        <v>1</v>
      </c>
      <c r="J37" s="37">
        <v>0.5</v>
      </c>
      <c r="K37" s="38">
        <v>712.39756444844124</v>
      </c>
      <c r="L37" s="89">
        <v>31.872128829556921</v>
      </c>
    </row>
    <row r="38" spans="1:12" ht="15" customHeight="1" x14ac:dyDescent="0.4">
      <c r="A38" s="83">
        <v>5</v>
      </c>
      <c r="B38" s="84" t="s">
        <v>121</v>
      </c>
      <c r="C38" s="85"/>
      <c r="D38" s="85"/>
      <c r="E38" s="85"/>
      <c r="F38" s="85"/>
      <c r="G38" s="85"/>
      <c r="H38" s="85"/>
      <c r="I38" s="85"/>
      <c r="J38" s="85"/>
      <c r="K38" s="85"/>
      <c r="L38" s="86"/>
    </row>
    <row r="39" spans="1:12" ht="15" customHeight="1" x14ac:dyDescent="0.4">
      <c r="A39" s="35" t="s">
        <v>157</v>
      </c>
      <c r="B39" s="55" t="s">
        <v>168</v>
      </c>
      <c r="C39" s="55" t="s">
        <v>159</v>
      </c>
      <c r="D39" s="55" t="s">
        <v>122</v>
      </c>
      <c r="E39" s="55" t="s">
        <v>161</v>
      </c>
      <c r="F39" s="55" t="s">
        <v>162</v>
      </c>
      <c r="G39" s="55" t="s">
        <v>163</v>
      </c>
      <c r="H39" s="55" t="s">
        <v>164</v>
      </c>
      <c r="I39" s="55" t="s">
        <v>165</v>
      </c>
      <c r="J39" s="55" t="s">
        <v>179</v>
      </c>
      <c r="K39" s="55" t="s">
        <v>166</v>
      </c>
      <c r="L39" s="36" t="s">
        <v>167</v>
      </c>
    </row>
    <row r="40" spans="1:12" ht="15" customHeight="1" x14ac:dyDescent="0.4">
      <c r="A40" s="88">
        <v>355</v>
      </c>
      <c r="B40" s="64">
        <v>1.1499999999999999</v>
      </c>
      <c r="C40" s="65">
        <v>222.39999999999998</v>
      </c>
      <c r="D40" s="37">
        <v>1.3</v>
      </c>
      <c r="E40" s="38">
        <v>169.75416250000001</v>
      </c>
      <c r="F40" s="38">
        <v>0.7</v>
      </c>
      <c r="G40" s="37">
        <v>4</v>
      </c>
      <c r="H40" s="37">
        <v>12</v>
      </c>
      <c r="I40" s="37">
        <v>1</v>
      </c>
      <c r="J40" s="37">
        <v>0.5</v>
      </c>
      <c r="K40" s="38">
        <v>712.39756444844124</v>
      </c>
      <c r="L40" s="89">
        <v>31.872128829556921</v>
      </c>
    </row>
    <row r="41" spans="1:12" ht="15" customHeight="1" x14ac:dyDescent="0.4">
      <c r="A41" s="83">
        <v>6</v>
      </c>
      <c r="B41" s="84" t="s">
        <v>121</v>
      </c>
      <c r="C41" s="85"/>
      <c r="D41" s="85"/>
      <c r="E41" s="85"/>
      <c r="F41" s="85"/>
      <c r="G41" s="85"/>
      <c r="H41" s="85"/>
      <c r="I41" s="85"/>
      <c r="J41" s="85"/>
      <c r="K41" s="85"/>
      <c r="L41" s="86"/>
    </row>
    <row r="42" spans="1:12" ht="15" customHeight="1" x14ac:dyDescent="0.4">
      <c r="A42" s="35" t="s">
        <v>157</v>
      </c>
      <c r="B42" s="55" t="s">
        <v>168</v>
      </c>
      <c r="C42" s="55" t="s">
        <v>159</v>
      </c>
      <c r="D42" s="55" t="s">
        <v>122</v>
      </c>
      <c r="E42" s="55" t="s">
        <v>161</v>
      </c>
      <c r="F42" s="55" t="s">
        <v>162</v>
      </c>
      <c r="G42" s="55" t="s">
        <v>163</v>
      </c>
      <c r="H42" s="55" t="s">
        <v>164</v>
      </c>
      <c r="I42" s="55" t="s">
        <v>165</v>
      </c>
      <c r="J42" s="55" t="s">
        <v>179</v>
      </c>
      <c r="K42" s="55" t="s">
        <v>166</v>
      </c>
      <c r="L42" s="36" t="s">
        <v>167</v>
      </c>
    </row>
    <row r="43" spans="1:12" ht="15" customHeight="1" x14ac:dyDescent="0.4">
      <c r="A43" s="88">
        <v>355</v>
      </c>
      <c r="B43" s="64">
        <v>1.1499999999999999</v>
      </c>
      <c r="C43" s="65">
        <v>222.39999999999998</v>
      </c>
      <c r="D43" s="37">
        <v>1.3</v>
      </c>
      <c r="E43" s="38">
        <v>169.75416250000001</v>
      </c>
      <c r="F43" s="38">
        <v>0.7</v>
      </c>
      <c r="G43" s="37">
        <v>4</v>
      </c>
      <c r="H43" s="37">
        <v>12</v>
      </c>
      <c r="I43" s="37">
        <v>1</v>
      </c>
      <c r="J43" s="37">
        <v>0.5</v>
      </c>
      <c r="K43" s="38">
        <v>712.39756444844124</v>
      </c>
      <c r="L43" s="89">
        <v>31.872128829556921</v>
      </c>
    </row>
    <row r="44" spans="1:12" ht="15" customHeight="1" x14ac:dyDescent="0.4">
      <c r="A44" s="8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4"/>
    </row>
    <row r="45" spans="1:12" ht="15" customHeight="1" x14ac:dyDescent="0.4">
      <c r="A45" s="35"/>
      <c r="B45" s="55"/>
      <c r="C45" s="56"/>
      <c r="D45" s="57"/>
      <c r="E45" s="55"/>
      <c r="F45" s="55"/>
      <c r="G45" s="55"/>
      <c r="H45" s="55"/>
      <c r="I45" s="55"/>
      <c r="J45" s="55"/>
      <c r="K45" s="55"/>
      <c r="L45" s="36"/>
    </row>
    <row r="46" spans="1:12" ht="15" customHeight="1" x14ac:dyDescent="0.4">
      <c r="A46" s="88"/>
      <c r="B46" s="37"/>
      <c r="C46" s="37"/>
      <c r="D46" s="38"/>
      <c r="E46" s="37"/>
      <c r="F46" s="38"/>
      <c r="G46" s="90"/>
      <c r="H46" s="90"/>
      <c r="I46" s="91"/>
      <c r="J46" s="91"/>
      <c r="K46" s="91"/>
      <c r="L46" s="92"/>
    </row>
    <row r="47" spans="1:12" ht="15" customHeight="1" x14ac:dyDescent="0.4">
      <c r="A47" s="8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4"/>
    </row>
    <row r="48" spans="1:12" ht="15" customHeight="1" x14ac:dyDescent="0.4">
      <c r="A48" s="35"/>
      <c r="B48" s="55"/>
      <c r="C48" s="56"/>
      <c r="D48" s="57"/>
      <c r="E48" s="55"/>
      <c r="F48" s="55"/>
      <c r="G48" s="55"/>
      <c r="H48" s="55"/>
      <c r="I48" s="55"/>
      <c r="J48" s="55"/>
      <c r="K48" s="55"/>
      <c r="L48" s="36"/>
    </row>
    <row r="49" spans="1:12" ht="15" customHeight="1" x14ac:dyDescent="0.4">
      <c r="A49" s="88"/>
      <c r="B49" s="37"/>
      <c r="C49" s="37"/>
      <c r="D49" s="38"/>
      <c r="E49" s="37"/>
      <c r="F49" s="38"/>
      <c r="G49" s="90"/>
      <c r="H49" s="90"/>
      <c r="I49" s="91"/>
      <c r="J49" s="91"/>
      <c r="K49" s="91"/>
      <c r="L49" s="92"/>
    </row>
    <row r="50" spans="1:12" ht="15" customHeight="1" x14ac:dyDescent="0.4">
      <c r="A50" s="8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4"/>
    </row>
    <row r="51" spans="1:12" ht="15" customHeight="1" x14ac:dyDescent="0.4">
      <c r="A51" s="35"/>
      <c r="B51" s="55"/>
      <c r="C51" s="56"/>
      <c r="D51" s="57"/>
      <c r="E51" s="55"/>
      <c r="F51" s="55"/>
      <c r="G51" s="55"/>
      <c r="H51" s="55"/>
      <c r="I51" s="55"/>
      <c r="J51" s="55"/>
      <c r="K51" s="55"/>
      <c r="L51" s="36"/>
    </row>
    <row r="52" spans="1:12" ht="15" customHeight="1" x14ac:dyDescent="0.4">
      <c r="A52" s="88"/>
      <c r="B52" s="37"/>
      <c r="C52" s="37"/>
      <c r="D52" s="38"/>
      <c r="E52" s="37"/>
      <c r="F52" s="38"/>
      <c r="G52" s="90"/>
      <c r="H52" s="90"/>
      <c r="I52" s="91"/>
      <c r="J52" s="91"/>
      <c r="K52" s="91"/>
      <c r="L52" s="92"/>
    </row>
    <row r="53" spans="1:12" ht="15" customHeight="1" x14ac:dyDescent="0.4">
      <c r="A53" s="8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4"/>
    </row>
    <row r="54" spans="1:12" ht="15" customHeight="1" x14ac:dyDescent="0.4">
      <c r="A54" s="35"/>
      <c r="B54" s="55"/>
      <c r="C54" s="56"/>
      <c r="D54" s="57"/>
      <c r="E54" s="55"/>
      <c r="F54" s="55"/>
      <c r="G54" s="55"/>
      <c r="H54" s="55"/>
      <c r="I54" s="55"/>
      <c r="J54" s="55"/>
      <c r="K54" s="55"/>
      <c r="L54" s="36"/>
    </row>
    <row r="55" spans="1:12" ht="15" customHeight="1" x14ac:dyDescent="0.4">
      <c r="A55" s="88"/>
      <c r="B55" s="37"/>
      <c r="C55" s="37"/>
      <c r="D55" s="38"/>
      <c r="E55" s="37"/>
      <c r="F55" s="38"/>
      <c r="G55" s="90"/>
      <c r="H55" s="90"/>
      <c r="I55" s="91"/>
      <c r="J55" s="91"/>
      <c r="K55" s="91"/>
      <c r="L55" s="92"/>
    </row>
    <row r="56" spans="1:12" ht="15" customHeight="1" x14ac:dyDescent="0.4"/>
    <row r="57" spans="1:12" ht="15" customHeight="1" x14ac:dyDescent="0.4"/>
    <row r="58" spans="1:12" ht="15" customHeight="1" x14ac:dyDescent="0.4"/>
    <row r="59" spans="1:12" ht="15" customHeight="1" x14ac:dyDescent="0.4"/>
    <row r="60" spans="1:12" ht="15" customHeight="1" x14ac:dyDescent="0.4"/>
    <row r="61" spans="1:12" ht="15" customHeight="1" x14ac:dyDescent="0.4"/>
    <row r="62" spans="1:12" ht="15" customHeight="1" x14ac:dyDescent="0.4"/>
    <row r="63" spans="1:12" ht="15" customHeight="1" x14ac:dyDescent="0.4"/>
    <row r="64" spans="1:12" ht="15" customHeight="1" x14ac:dyDescent="0.4"/>
    <row r="65" ht="15" customHeight="1" x14ac:dyDescent="0.4"/>
    <row r="66" ht="15" customHeight="1" x14ac:dyDescent="0.4"/>
    <row r="67" ht="15" customHeight="1" x14ac:dyDescent="0.4"/>
    <row r="68" ht="15" customHeight="1" x14ac:dyDescent="0.4"/>
    <row r="69" ht="15" customHeight="1" x14ac:dyDescent="0.4"/>
    <row r="70" ht="15" customHeight="1" x14ac:dyDescent="0.4"/>
    <row r="71" ht="15" customHeight="1" x14ac:dyDescent="0.4"/>
    <row r="72" ht="15" customHeight="1" x14ac:dyDescent="0.4"/>
    <row r="73" ht="15" customHeight="1" x14ac:dyDescent="0.4"/>
    <row r="74" ht="15" customHeight="1" x14ac:dyDescent="0.4"/>
    <row r="75" ht="15" customHeight="1" x14ac:dyDescent="0.4"/>
    <row r="76" ht="15" customHeight="1" x14ac:dyDescent="0.4"/>
    <row r="77" ht="15" customHeight="1" x14ac:dyDescent="0.4"/>
    <row r="78" ht="15" customHeight="1" x14ac:dyDescent="0.4"/>
    <row r="79" ht="15" customHeight="1" x14ac:dyDescent="0.4"/>
    <row r="80" ht="15" customHeight="1" x14ac:dyDescent="0.4"/>
    <row r="81" ht="15" customHeight="1" x14ac:dyDescent="0.4"/>
    <row r="82" ht="15" customHeight="1" x14ac:dyDescent="0.4"/>
    <row r="83" ht="15" customHeight="1" x14ac:dyDescent="0.4"/>
    <row r="84" ht="15" customHeight="1" x14ac:dyDescent="0.4"/>
    <row r="85" ht="15" customHeight="1" x14ac:dyDescent="0.4"/>
    <row r="86" ht="15" customHeight="1" x14ac:dyDescent="0.4"/>
    <row r="87" ht="15" customHeight="1" x14ac:dyDescent="0.4"/>
    <row r="88" ht="15" customHeight="1" x14ac:dyDescent="0.4"/>
    <row r="89" ht="15" customHeight="1" x14ac:dyDescent="0.4"/>
    <row r="90" ht="15" customHeight="1" x14ac:dyDescent="0.4"/>
    <row r="91" ht="15" customHeight="1" x14ac:dyDescent="0.4"/>
    <row r="92" ht="15" customHeight="1" x14ac:dyDescent="0.4"/>
    <row r="93" ht="15" customHeight="1" x14ac:dyDescent="0.4"/>
    <row r="94" ht="15" customHeight="1" x14ac:dyDescent="0.4"/>
    <row r="95" ht="15" customHeight="1" x14ac:dyDescent="0.4"/>
    <row r="96" ht="15" customHeight="1" x14ac:dyDescent="0.4"/>
    <row r="97" ht="15" customHeight="1" x14ac:dyDescent="0.4"/>
    <row r="98" ht="15" customHeight="1" x14ac:dyDescent="0.4"/>
    <row r="99" ht="15" customHeight="1" x14ac:dyDescent="0.4"/>
    <row r="100" ht="15" customHeight="1" x14ac:dyDescent="0.4"/>
    <row r="101" ht="15" customHeight="1" x14ac:dyDescent="0.4"/>
    <row r="102" ht="15" customHeight="1" x14ac:dyDescent="0.4"/>
    <row r="103" ht="15" customHeight="1" x14ac:dyDescent="0.4"/>
    <row r="104" ht="15" customHeight="1" x14ac:dyDescent="0.4"/>
    <row r="105" ht="15" customHeight="1" x14ac:dyDescent="0.4"/>
    <row r="106" ht="15" customHeight="1" x14ac:dyDescent="0.4"/>
    <row r="107" ht="15" customHeight="1" x14ac:dyDescent="0.4"/>
    <row r="108" ht="15" customHeight="1" x14ac:dyDescent="0.4"/>
    <row r="109" ht="15" customHeight="1" x14ac:dyDescent="0.4"/>
    <row r="110" ht="15" customHeight="1" x14ac:dyDescent="0.4"/>
    <row r="111" ht="15" customHeight="1" x14ac:dyDescent="0.4"/>
    <row r="112" ht="15" customHeight="1" x14ac:dyDescent="0.4"/>
    <row r="113" ht="15" customHeight="1" x14ac:dyDescent="0.4"/>
    <row r="114" ht="15" customHeight="1" x14ac:dyDescent="0.4"/>
    <row r="115" ht="15" customHeight="1" x14ac:dyDescent="0.4"/>
    <row r="116" ht="15" customHeight="1" x14ac:dyDescent="0.4"/>
    <row r="117" ht="15" customHeight="1" x14ac:dyDescent="0.4"/>
    <row r="118" ht="15" customHeight="1" x14ac:dyDescent="0.4"/>
    <row r="410" spans="1:12" ht="12" customHeight="1" x14ac:dyDescent="0.4">
      <c r="A410"/>
      <c r="B410"/>
      <c r="C410"/>
      <c r="D410"/>
      <c r="E410"/>
      <c r="F410"/>
      <c r="G410"/>
      <c r="H410"/>
      <c r="I410"/>
      <c r="J410"/>
      <c r="K410"/>
      <c r="L410"/>
    </row>
    <row r="411" spans="1:12" ht="12" customHeight="1" x14ac:dyDescent="0.4">
      <c r="A411"/>
      <c r="B411"/>
      <c r="C411"/>
      <c r="D411"/>
      <c r="E411"/>
      <c r="F411"/>
      <c r="G411"/>
      <c r="H411"/>
      <c r="I411"/>
      <c r="J411"/>
      <c r="K411"/>
      <c r="L411"/>
    </row>
    <row r="412" spans="1:12" ht="12" customHeight="1" x14ac:dyDescent="0.4">
      <c r="A412"/>
      <c r="B412"/>
      <c r="C412"/>
      <c r="D412"/>
      <c r="E412"/>
      <c r="F412"/>
      <c r="G412"/>
      <c r="H412"/>
      <c r="I412"/>
      <c r="J412"/>
      <c r="K412"/>
      <c r="L412"/>
    </row>
    <row r="482" spans="1:12" ht="12" customHeight="1" x14ac:dyDescent="0.4">
      <c r="A482"/>
      <c r="B482"/>
      <c r="C482"/>
      <c r="D482"/>
      <c r="E482"/>
      <c r="F482"/>
      <c r="G482"/>
      <c r="H482"/>
      <c r="I482"/>
      <c r="J482"/>
      <c r="K482"/>
      <c r="L482"/>
    </row>
    <row r="483" spans="1:12" ht="12" customHeight="1" x14ac:dyDescent="0.4">
      <c r="A483"/>
      <c r="B483"/>
      <c r="C483"/>
      <c r="D483"/>
      <c r="E483"/>
      <c r="F483"/>
      <c r="G483"/>
      <c r="H483"/>
      <c r="I483"/>
      <c r="J483"/>
      <c r="K483"/>
      <c r="L483"/>
    </row>
    <row r="484" spans="1:12" ht="12" customHeight="1" x14ac:dyDescent="0.4">
      <c r="A484"/>
      <c r="B484"/>
      <c r="C484"/>
      <c r="D484"/>
      <c r="E484"/>
      <c r="F484"/>
      <c r="G484"/>
      <c r="H484"/>
      <c r="I484"/>
      <c r="J484"/>
      <c r="K484"/>
      <c r="L484"/>
    </row>
  </sheetData>
  <mergeCells count="2">
    <mergeCell ref="E4:L5"/>
    <mergeCell ref="C7:J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Calculator3_Click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8</xdr:col>
                    <xdr:colOff>0</xdr:colOff>
                    <xdr:row>23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1]!Delete_Click">
                <anchor moveWithCells="1" sizeWithCells="1">
                  <from>
                    <xdr:col>9</xdr:col>
                    <xdr:colOff>0</xdr:colOff>
                    <xdr:row>23</xdr:row>
                    <xdr:rowOff>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1]!CleaeAll_Click">
                <anchor moveWithCells="1" siz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1]!CleaeAll_Click">
                <anchor moveWithCells="1" sizeWithCells="1">
                  <from>
                    <xdr:col>10</xdr:col>
                    <xdr:colOff>502920</xdr:colOff>
                    <xdr:row>23</xdr:row>
                    <xdr:rowOff>0</xdr:rowOff>
                  </from>
                  <to>
                    <xdr:col>12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2</vt:i4>
      </vt:variant>
    </vt:vector>
  </HeadingPairs>
  <TitlesOfParts>
    <vt:vector size="8" baseType="lpstr">
      <vt:lpstr>Front</vt:lpstr>
      <vt:lpstr>Scantling</vt:lpstr>
      <vt:lpstr>Plates</vt:lpstr>
      <vt:lpstr>Stiffeners</vt:lpstr>
      <vt:lpstr>Stiffeners (2)</vt:lpstr>
      <vt:lpstr>Girder</vt:lpstr>
      <vt:lpstr>grav</vt:lpstr>
      <vt:lpstr>rho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MSI</dc:creator>
  <cp:keywords/>
  <dc:description/>
  <cp:lastModifiedBy>우열 정</cp:lastModifiedBy>
  <cp:revision/>
  <cp:lastPrinted>2023-10-13T03:58:09Z</cp:lastPrinted>
  <dcterms:created xsi:type="dcterms:W3CDTF">2023-07-28T00:04:22Z</dcterms:created>
  <dcterms:modified xsi:type="dcterms:W3CDTF">2023-10-16T04:52:54Z</dcterms:modified>
  <cp:category/>
  <cp:contentStatus/>
</cp:coreProperties>
</file>