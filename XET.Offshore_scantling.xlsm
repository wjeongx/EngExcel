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E:\EngExcel\"/>
    </mc:Choice>
  </mc:AlternateContent>
  <xr:revisionPtr revIDLastSave="0" documentId="13_ncr:1_{26367342-8049-4884-8004-317C78EEEBBA}" xr6:coauthVersionLast="47" xr6:coauthVersionMax="47" xr10:uidLastSave="{00000000-0000-0000-0000-000000000000}"/>
  <bookViews>
    <workbookView xWindow="38292" yWindow="-108" windowWidth="38616" windowHeight="21096" activeTab="3" xr2:uid="{FCC1A85E-97E3-4657-BDF1-A65A890ACCBE}"/>
  </bookViews>
  <sheets>
    <sheet name="Front" sheetId="2" r:id="rId1"/>
    <sheet name="Scantling" sheetId="1" r:id="rId2"/>
    <sheet name="Load" sheetId="10" r:id="rId3"/>
    <sheet name="Plates" sheetId="5" r:id="rId4"/>
    <sheet name="Stiffeners" sheetId="7" r:id="rId5"/>
    <sheet name="Sheet1" sheetId="9" r:id="rId6"/>
    <sheet name="Girder" sheetId="8" r:id="rId7"/>
  </sheets>
  <functionGroups builtInGroupCount="19"/>
  <definedNames>
    <definedName name="grav" localSheetId="6">Girder!#REF!</definedName>
    <definedName name="grav" localSheetId="2">Load!#REF!</definedName>
    <definedName name="grav" localSheetId="3">Plates!#REF!</definedName>
    <definedName name="grav" localSheetId="4">Stiffeners!#REF!</definedName>
    <definedName name="grav">Scantling!$E$5</definedName>
    <definedName name="rho" localSheetId="6">Girder!#REF!</definedName>
    <definedName name="rho" localSheetId="2">Load!#REF!</definedName>
    <definedName name="rho" localSheetId="3">Plates!#REF!</definedName>
    <definedName name="rho" localSheetId="4">Stiffeners!#REF!</definedName>
    <definedName name="rho">Scantling!$D$5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3" i="5" l="1"/>
  <c r="E21" i="5"/>
  <c r="E27" i="5"/>
  <c r="E25" i="5"/>
  <c r="E24" i="5"/>
  <c r="E11" i="5"/>
  <c r="E28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D38" i="10"/>
  <c r="D39" i="10"/>
  <c r="D40" i="10"/>
  <c r="D41" i="10"/>
  <c r="D42" i="10"/>
  <c r="D43" i="10"/>
  <c r="D44" i="10"/>
  <c r="D45" i="10"/>
  <c r="D46" i="10"/>
  <c r="D37" i="10"/>
  <c r="C39" i="10"/>
  <c r="C40" i="10"/>
  <c r="C41" i="10"/>
  <c r="C42" i="10"/>
  <c r="E42" i="10" s="1"/>
  <c r="C43" i="10"/>
  <c r="E43" i="10" s="1"/>
  <c r="C44" i="10"/>
  <c r="E44" i="10" s="1"/>
  <c r="C45" i="10"/>
  <c r="E45" i="10" s="1"/>
  <c r="C46" i="10"/>
  <c r="E46" i="10" s="1"/>
  <c r="C38" i="10"/>
  <c r="C25" i="10"/>
  <c r="E25" i="10" s="1"/>
  <c r="C26" i="10"/>
  <c r="E26" i="10" s="1"/>
  <c r="C27" i="10"/>
  <c r="E27" i="10" s="1"/>
  <c r="C28" i="10"/>
  <c r="C29" i="10"/>
  <c r="E29" i="10" s="1"/>
  <c r="C30" i="10"/>
  <c r="C31" i="10"/>
  <c r="C32" i="10"/>
  <c r="C33" i="10"/>
  <c r="C34" i="10"/>
  <c r="C35" i="10"/>
  <c r="C36" i="10"/>
  <c r="C37" i="10"/>
  <c r="C24" i="10"/>
  <c r="E24" i="10" s="1"/>
  <c r="E17" i="10"/>
  <c r="E11" i="10"/>
  <c r="E15" i="10"/>
  <c r="E14" i="10"/>
  <c r="C21" i="9"/>
  <c r="C25" i="9"/>
  <c r="E24" i="9"/>
  <c r="D24" i="9"/>
  <c r="C23" i="9"/>
  <c r="F7" i="9"/>
  <c r="C22" i="9"/>
  <c r="K18" i="9"/>
  <c r="J18" i="9"/>
  <c r="M15" i="9"/>
  <c r="J15" i="9" s="1"/>
  <c r="C28" i="9" l="1"/>
  <c r="E16" i="8"/>
  <c r="E17" i="8" s="1"/>
  <c r="E18" i="8" s="1"/>
  <c r="E14" i="7"/>
  <c r="E15" i="7" s="1"/>
  <c r="K11" i="1" l="1"/>
  <c r="H10" i="1"/>
  <c r="J36" i="1"/>
  <c r="K36" i="1" s="1"/>
  <c r="E11" i="8" l="1"/>
  <c r="E11" i="7"/>
  <c r="D41" i="1" l="1"/>
  <c r="H4" i="2"/>
  <c r="H5" i="2"/>
  <c r="H6" i="2"/>
  <c r="H7" i="2"/>
  <c r="H3" i="2"/>
  <c r="I50" i="1" l="1"/>
  <c r="I45" i="1"/>
  <c r="I39" i="1"/>
  <c r="I60" i="1"/>
  <c r="K60" i="1" s="1"/>
  <c r="I59" i="1"/>
  <c r="K59" i="1" s="1"/>
  <c r="I58" i="1"/>
  <c r="K58" i="1" s="1"/>
  <c r="I57" i="1"/>
  <c r="K57" i="1" s="1"/>
  <c r="I56" i="1"/>
  <c r="K56" i="1" s="1"/>
  <c r="C52" i="1"/>
  <c r="C53" i="1" s="1"/>
  <c r="C54" i="1" s="1"/>
  <c r="C55" i="1" s="1"/>
  <c r="C56" i="1" s="1"/>
  <c r="N59" i="1" l="1"/>
  <c r="N60" i="1"/>
  <c r="N57" i="1"/>
  <c r="N58" i="1"/>
  <c r="N56" i="1"/>
  <c r="C57" i="1"/>
  <c r="D56" i="1"/>
  <c r="L56" i="1" l="1"/>
  <c r="O56" i="1"/>
  <c r="C58" i="1"/>
  <c r="D57" i="1"/>
  <c r="L57" i="1" l="1"/>
  <c r="O57" i="1"/>
  <c r="C59" i="1"/>
  <c r="D58" i="1"/>
  <c r="L58" i="1" l="1"/>
  <c r="O58" i="1"/>
  <c r="D59" i="1"/>
  <c r="C60" i="1"/>
  <c r="D60" i="1" s="1"/>
  <c r="L60" i="1" l="1"/>
  <c r="O60" i="1"/>
  <c r="L59" i="1"/>
  <c r="O59" i="1"/>
  <c r="J16" i="1" l="1"/>
  <c r="M16" i="1"/>
  <c r="M22" i="1"/>
  <c r="M27" i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I55" i="1"/>
  <c r="I54" i="1"/>
  <c r="N54" i="1" s="1"/>
  <c r="I53" i="1"/>
  <c r="D53" i="1"/>
  <c r="D54" i="1"/>
  <c r="D52" i="1"/>
  <c r="O52" i="1" s="1"/>
  <c r="I52" i="1"/>
  <c r="N52" i="1" s="1"/>
  <c r="D47" i="1"/>
  <c r="I47" i="1"/>
  <c r="I41" i="1"/>
  <c r="F30" i="1"/>
  <c r="K30" i="1" s="1"/>
  <c r="F29" i="1"/>
  <c r="K29" i="1" s="1"/>
  <c r="F28" i="1"/>
  <c r="K28" i="1" s="1"/>
  <c r="F27" i="1"/>
  <c r="K27" i="1" s="1"/>
  <c r="L28" i="1"/>
  <c r="F22" i="1"/>
  <c r="K22" i="1" s="1"/>
  <c r="H5" i="1"/>
  <c r="F16" i="1"/>
  <c r="K54" i="1" l="1"/>
  <c r="K41" i="1"/>
  <c r="N41" i="1"/>
  <c r="O41" i="1" s="1"/>
  <c r="K55" i="1"/>
  <c r="N55" i="1"/>
  <c r="K47" i="1"/>
  <c r="L47" i="1" s="1"/>
  <c r="N47" i="1"/>
  <c r="O47" i="1" s="1"/>
  <c r="K52" i="1"/>
  <c r="L52" i="1" s="1"/>
  <c r="K53" i="1"/>
  <c r="L53" i="1" s="1"/>
  <c r="N53" i="1"/>
  <c r="O53" i="1" s="1"/>
  <c r="L54" i="1"/>
  <c r="O54" i="1"/>
  <c r="L41" i="1"/>
  <c r="D55" i="1"/>
  <c r="M28" i="1"/>
  <c r="N28" i="1" s="1"/>
  <c r="L29" i="1"/>
  <c r="M29" i="1" s="1"/>
  <c r="K16" i="1"/>
  <c r="N16" i="1" s="1"/>
  <c r="N22" i="1"/>
  <c r="N27" i="1"/>
  <c r="L55" i="1" l="1"/>
  <c r="O55" i="1"/>
  <c r="N29" i="1"/>
  <c r="L30" i="1"/>
  <c r="M30" i="1" l="1"/>
  <c r="N30" i="1" s="1"/>
</calcChain>
</file>

<file path=xl/sharedStrings.xml><?xml version="1.0" encoding="utf-8"?>
<sst xmlns="http://schemas.openxmlformats.org/spreadsheetml/2006/main" count="816" uniqueCount="261">
  <si>
    <t>Local Scantling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</si>
  <si>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</si>
  <si>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</si>
  <si>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</si>
  <si>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</si>
  <si>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</si>
  <si>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</si>
  <si>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</si>
  <si>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</si>
  <si>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</si>
  <si>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</si>
  <si>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</si>
  <si>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</si>
  <si>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M</t>
    <phoneticPr fontId="1" type="noConversion"/>
  </si>
  <si>
    <t>Loading :</t>
    <phoneticPr fontId="1" type="noConversion"/>
  </si>
  <si>
    <t>N</t>
    <phoneticPr fontId="1" type="noConversion"/>
  </si>
  <si>
    <t>Static Loadings</t>
    <phoneticPr fontId="1" type="noConversion"/>
  </si>
  <si>
    <t>O</t>
    <phoneticPr fontId="1" type="noConversion"/>
  </si>
  <si>
    <t>P</t>
    <phoneticPr fontId="1" type="noConversion"/>
  </si>
  <si>
    <t>Static Loadings</t>
  </si>
  <si>
    <t>Q</t>
    <phoneticPr fontId="1" type="noConversion"/>
  </si>
  <si>
    <t>m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</si>
  <si>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</si>
  <si>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</si>
  <si>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</si>
  <si>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</si>
  <si>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</si>
  <si>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</si>
  <si>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</si>
  <si>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</si>
  <si>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</si>
  <si>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h</t>
    <phoneticPr fontId="1" type="noConversion"/>
  </si>
  <si>
    <t>pd</t>
    <phoneticPr fontId="1" type="noConversion"/>
  </si>
  <si>
    <t>Maximum Tank Pressure</t>
    <phoneticPr fontId="1" type="noConversion"/>
  </si>
  <si>
    <t>r</t>
    <phoneticPr fontId="1" type="noConversion"/>
  </si>
  <si>
    <t>g0</t>
    <phoneticPr fontId="1" type="noConversion"/>
  </si>
  <si>
    <t>hmax</t>
    <phoneticPr fontId="1" type="noConversion"/>
  </si>
  <si>
    <t>g</t>
    <phoneticPr fontId="1" type="noConversion"/>
  </si>
  <si>
    <t>Plating</t>
    <phoneticPr fontId="1" type="noConversion"/>
  </si>
  <si>
    <t>Bottom Plating</t>
    <phoneticPr fontId="1" type="noConversion"/>
  </si>
  <si>
    <t>ka</t>
    <phoneticPr fontId="1" type="noConversion"/>
  </si>
  <si>
    <t>s</t>
    <phoneticPr fontId="1" type="noConversion"/>
  </si>
  <si>
    <t>kpp</t>
    <phoneticPr fontId="1" type="noConversion"/>
  </si>
  <si>
    <r>
      <t>g</t>
    </r>
    <r>
      <rPr>
        <vertAlign val="subscript"/>
        <sz val="11"/>
        <color theme="1"/>
        <rFont val="Arial"/>
        <family val="2"/>
      </rPr>
      <t>m</t>
    </r>
    <phoneticPr fontId="1" type="noConversion"/>
  </si>
  <si>
    <t>t</t>
    <phoneticPr fontId="1" type="noConversion"/>
  </si>
  <si>
    <t>Deck Plating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</si>
  <si>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</si>
  <si>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</si>
  <si>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</si>
  <si>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e</t>
    <phoneticPr fontId="1" type="noConversion"/>
  </si>
  <si>
    <t>f</t>
    <phoneticPr fontId="1" type="noConversion"/>
  </si>
  <si>
    <t>i</t>
    <phoneticPr fontId="1" type="noConversion"/>
  </si>
  <si>
    <t>j</t>
    <phoneticPr fontId="1" type="noConversion"/>
  </si>
  <si>
    <t>k</t>
    <phoneticPr fontId="1" type="noConversion"/>
  </si>
  <si>
    <t>l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</si>
  <si>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</si>
  <si>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</si>
  <si>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</si>
  <si>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</si>
  <si>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</si>
  <si>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</si>
  <si>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</si>
  <si>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</si>
  <si>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</si>
  <si>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</si>
  <si>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d</t>
    <phoneticPr fontId="1" type="noConversion"/>
  </si>
  <si>
    <t>Ext. Shell Plating</t>
    <phoneticPr fontId="1" type="noConversion"/>
  </si>
  <si>
    <t>Stiffeners</t>
    <phoneticPr fontId="1" type="noConversion"/>
  </si>
  <si>
    <t>minimum Zs =</t>
    <phoneticPr fontId="1" type="noConversion"/>
  </si>
  <si>
    <r>
      <t>(mm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r>
      <rPr>
        <sz val="11"/>
        <color theme="1"/>
        <rFont val="맑은 고딕"/>
        <family val="2"/>
        <charset val="129"/>
        <scheme val="minor"/>
      </rPr>
      <t>)</t>
    </r>
    <phoneticPr fontId="1" type="noConversion"/>
  </si>
  <si>
    <t>Bottom Stiffeners</t>
    <phoneticPr fontId="1" type="noConversion"/>
  </si>
  <si>
    <t>kps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</si>
  <si>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pd2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</si>
  <si>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jd</t>
    </r>
    <phoneticPr fontId="1" type="noConversion"/>
  </si>
  <si>
    <t>km</t>
    <phoneticPr fontId="1" type="noConversion"/>
  </si>
  <si>
    <t>Deck Stiffeners</t>
    <phoneticPr fontId="1" type="noConversion"/>
  </si>
  <si>
    <r>
      <t>15*10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</si>
  <si>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r>
      <t>g</t>
    </r>
    <r>
      <rPr>
        <sz val="11"/>
        <color theme="1"/>
        <rFont val="Arial"/>
        <family val="2"/>
      </rPr>
      <t>f,</t>
    </r>
    <r>
      <rPr>
        <vertAlign val="subscript"/>
        <sz val="11"/>
        <color theme="1"/>
        <rFont val="Arial"/>
        <family val="2"/>
      </rPr>
      <t>GQ</t>
    </r>
    <phoneticPr fontId="1" type="noConversion"/>
  </si>
  <si>
    <t>s (m)</t>
    <phoneticPr fontId="1" type="noConversion"/>
  </si>
  <si>
    <t>fy(MPa)</t>
    <phoneticPr fontId="1" type="noConversion"/>
  </si>
  <si>
    <t>fyd(MPa)</t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</si>
  <si>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pd1</t>
    </r>
    <r>
      <rPr>
        <sz val="11"/>
        <color theme="1"/>
        <rFont val="맑은 고딕"/>
        <family val="2"/>
        <charset val="129"/>
        <scheme val="minor"/>
      </rPr>
      <t>(MPa)</t>
    </r>
    <phoneticPr fontId="1" type="noConversion"/>
  </si>
  <si>
    <t>h(m)</t>
    <phoneticPr fontId="1" type="noConversion"/>
  </si>
  <si>
    <t>pd(kN/m2)</t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</si>
  <si>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x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</si>
  <si>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y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</si>
  <si>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rPr>
        <sz val="11"/>
        <color theme="0" tint="-0.14999847407452621"/>
        <rFont val="Symbol"/>
        <family val="1"/>
        <charset val="2"/>
      </rPr>
      <t>s</t>
    </r>
    <r>
      <rPr>
        <vertAlign val="subscript"/>
        <sz val="11"/>
        <color theme="0" tint="-0.14999847407452621"/>
        <rFont val="Arial"/>
        <family val="2"/>
      </rPr>
      <t>jd</t>
    </r>
    <r>
      <rPr>
        <sz val="11"/>
        <color theme="0" tint="-0.14999847407452621"/>
        <rFont val="맑은 고딕"/>
        <family val="1"/>
        <charset val="2"/>
      </rPr>
      <t>(MPa)</t>
    </r>
    <phoneticPr fontId="1" type="noConversion"/>
  </si>
  <si>
    <r>
      <t>t</t>
    </r>
    <r>
      <rPr>
        <sz val="11"/>
        <color theme="0" tint="-0.14999847407452621"/>
        <rFont val="Arial"/>
        <family val="2"/>
      </rPr>
      <t>(MPa)</t>
    </r>
    <phoneticPr fontId="1" type="noConversion"/>
  </si>
  <si>
    <t>l (m)</t>
    <phoneticPr fontId="1" type="noConversion"/>
  </si>
  <si>
    <t>h (m)</t>
    <phoneticPr fontId="1" type="noConversion"/>
  </si>
  <si>
    <t>Zs (cm3)</t>
    <phoneticPr fontId="1" type="noConversion"/>
  </si>
  <si>
    <t>250 x 90 x 12/16 I.A</t>
    <phoneticPr fontId="1" type="noConversion"/>
  </si>
  <si>
    <t>300 x 90 x 11/16 I.A</t>
    <phoneticPr fontId="1" type="noConversion"/>
  </si>
  <si>
    <t>Z =</t>
    <phoneticPr fontId="1" type="noConversion"/>
  </si>
  <si>
    <r>
      <t>cm</t>
    </r>
    <r>
      <rPr>
        <vertAlign val="superscript"/>
        <sz val="11"/>
        <color theme="1"/>
        <rFont val="맑은 고딕"/>
        <family val="3"/>
        <charset val="129"/>
        <scheme val="minor"/>
      </rPr>
      <t>3</t>
    </r>
    <phoneticPr fontId="1" type="noConversion"/>
  </si>
  <si>
    <t>250 x 90 x 10/15 I.A</t>
    <phoneticPr fontId="1" type="noConversion"/>
  </si>
  <si>
    <t>Ext. Shell Plating Stiffeners</t>
    <phoneticPr fontId="1" type="noConversion"/>
  </si>
  <si>
    <t>(ref. 200x90x9/14 I.A, Z=335)</t>
    <phoneticPr fontId="1" type="noConversion"/>
  </si>
  <si>
    <r>
      <rPr>
        <sz val="11"/>
        <color theme="1"/>
        <rFont val="Symbol"/>
        <family val="1"/>
        <charset val="2"/>
      </rPr>
      <t>t</t>
    </r>
    <r>
      <rPr>
        <vertAlign val="subscript"/>
        <sz val="11"/>
        <color theme="1"/>
        <rFont val="Arial"/>
        <family val="2"/>
      </rPr>
      <t>pds</t>
    </r>
    <phoneticPr fontId="1" type="noConversion"/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</si>
  <si>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xd</t>
    </r>
    <phoneticPr fontId="1" type="noConversion"/>
  </si>
  <si>
    <t>As</t>
    <phoneticPr fontId="1" type="noConversion"/>
  </si>
  <si>
    <t>As =</t>
    <phoneticPr fontId="1" type="noConversion"/>
  </si>
  <si>
    <t>Girder or Trans. Web</t>
    <phoneticPr fontId="1" type="noConversion"/>
  </si>
  <si>
    <t>Offshore Structure</t>
    <phoneticPr fontId="1" type="noConversion"/>
  </si>
  <si>
    <t>Description :</t>
    <phoneticPr fontId="1" type="noConversion"/>
  </si>
  <si>
    <t>Water Head</t>
    <phoneticPr fontId="1" type="noConversion"/>
  </si>
  <si>
    <t>Design Pressure</t>
    <phoneticPr fontId="1" type="noConversion"/>
  </si>
  <si>
    <t>Material</t>
    <phoneticPr fontId="1" type="noConversion"/>
  </si>
  <si>
    <t>NV-NS</t>
    <phoneticPr fontId="1" type="noConversion"/>
  </si>
  <si>
    <t>NV-27</t>
    <phoneticPr fontId="1" type="noConversion"/>
  </si>
  <si>
    <t>NV-32</t>
    <phoneticPr fontId="1" type="noConversion"/>
  </si>
  <si>
    <t>NV-36</t>
  </si>
  <si>
    <t>NV-36</t>
    <phoneticPr fontId="1" type="noConversion"/>
  </si>
  <si>
    <t>NV-40</t>
    <phoneticPr fontId="1" type="noConversion"/>
  </si>
  <si>
    <t>ka =</t>
    <phoneticPr fontId="1" type="noConversion"/>
  </si>
  <si>
    <t>span =</t>
    <phoneticPr fontId="1" type="noConversion"/>
  </si>
  <si>
    <t>space =</t>
    <phoneticPr fontId="1" type="noConversion"/>
  </si>
  <si>
    <t>Allowable Stress</t>
    <phoneticPr fontId="1" type="noConversion"/>
  </si>
  <si>
    <t>Bottom Shell-1</t>
    <phoneticPr fontId="1" type="noConversion"/>
  </si>
  <si>
    <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</si>
  <si>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r>
      <t>kN/m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</si>
  <si>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t>N/mm</t>
    </r>
    <r>
      <rPr>
        <vertAlign val="superscript"/>
        <sz val="9"/>
        <color theme="1"/>
        <rFont val="맑은 고딕"/>
        <family val="3"/>
        <charset val="129"/>
        <scheme val="minor"/>
      </rPr>
      <t>2</t>
    </r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</si>
  <si>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2"/>
        <charset val="129"/>
        <scheme val="minor"/>
      </rPr>
      <t>m</t>
    </r>
    <phoneticPr fontId="1" type="noConversion"/>
  </si>
  <si>
    <t xml:space="preserve">kps= </t>
    <phoneticPr fontId="1" type="noConversion"/>
  </si>
  <si>
    <t>km =</t>
    <phoneticPr fontId="1" type="noConversion"/>
  </si>
  <si>
    <t>Provided Profile:</t>
    <phoneticPr fontId="1" type="noConversion"/>
  </si>
  <si>
    <t>tmin /</t>
    <phoneticPr fontId="1" type="noConversion"/>
  </si>
  <si>
    <t>Minimum yield stress</t>
    <phoneticPr fontId="1" type="noConversion"/>
  </si>
  <si>
    <t>fy /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</si>
  <si>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m</t>
    </r>
    <phoneticPr fontId="1" type="noConversion"/>
  </si>
  <si>
    <r>
      <rPr>
        <sz val="8"/>
        <rFont val="Symbol"/>
        <family val="1"/>
        <charset val="2"/>
      </rPr>
      <t>s</t>
    </r>
    <r>
      <rPr>
        <sz val="8"/>
        <rFont val="맑은 고딕"/>
        <family val="3"/>
        <charset val="129"/>
      </rPr>
      <t>,pd1 /</t>
    </r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</si>
  <si>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9"/>
        <color theme="1"/>
        <rFont val="Arial"/>
        <family val="2"/>
      </rPr>
      <t>f,</t>
    </r>
    <r>
      <rPr>
        <vertAlign val="subscript"/>
        <sz val="9"/>
        <color theme="1"/>
        <rFont val="Arial"/>
        <family val="2"/>
      </rPr>
      <t>GQ</t>
    </r>
    <phoneticPr fontId="1" type="noConversion"/>
  </si>
  <si>
    <t>pd /</t>
    <phoneticPr fontId="1" type="noConversion"/>
  </si>
  <si>
    <t>space/</t>
    <phoneticPr fontId="1" type="noConversion"/>
  </si>
  <si>
    <t>span/</t>
    <phoneticPr fontId="1" type="noConversion"/>
  </si>
  <si>
    <t>km /</t>
    <phoneticPr fontId="1" type="noConversion"/>
  </si>
  <si>
    <t>kps /</t>
    <phoneticPr fontId="1" type="noConversion"/>
  </si>
  <si>
    <t>Zs /</t>
    <phoneticPr fontId="1" type="noConversion"/>
  </si>
  <si>
    <t>Bottom Shell-2</t>
    <phoneticPr fontId="1" type="noConversion"/>
  </si>
  <si>
    <t>Ppd</t>
    <phoneticPr fontId="1" type="noConversion"/>
  </si>
  <si>
    <t>Ns</t>
    <phoneticPr fontId="1" type="noConversion"/>
  </si>
  <si>
    <r>
      <rPr>
        <sz val="9"/>
        <color theme="1"/>
        <rFont val="Symbol"/>
        <family val="1"/>
        <charset val="2"/>
      </rPr>
      <t>t</t>
    </r>
    <r>
      <rPr>
        <sz val="9"/>
        <color theme="1"/>
        <rFont val="맑은 고딕"/>
        <family val="2"/>
        <charset val="129"/>
        <scheme val="minor"/>
      </rPr>
      <t>pd =</t>
    </r>
    <phoneticPr fontId="1" type="noConversion"/>
  </si>
  <si>
    <t>space(b)=</t>
    <phoneticPr fontId="1" type="noConversion"/>
  </si>
  <si>
    <t>span(S)=</t>
    <phoneticPr fontId="1" type="noConversion"/>
  </si>
  <si>
    <r>
      <rPr>
        <sz val="8"/>
        <color theme="1"/>
        <rFont val="Symbol"/>
        <family val="1"/>
        <charset val="2"/>
      </rPr>
      <t>t</t>
    </r>
    <r>
      <rPr>
        <sz val="9"/>
        <color theme="1"/>
        <rFont val="Arial"/>
        <family val="2"/>
      </rPr>
      <t>pd /</t>
    </r>
    <phoneticPr fontId="1" type="noConversion"/>
  </si>
  <si>
    <t>space(b) /</t>
    <phoneticPr fontId="1" type="noConversion"/>
  </si>
  <si>
    <t>span(S) /</t>
    <phoneticPr fontId="1" type="noConversion"/>
  </si>
  <si>
    <r>
      <t>k</t>
    </r>
    <r>
      <rPr>
        <sz val="8"/>
        <color theme="1"/>
        <rFont val="Symbol"/>
        <family val="1"/>
        <charset val="2"/>
      </rPr>
      <t>t</t>
    </r>
    <r>
      <rPr>
        <sz val="8"/>
        <color theme="1"/>
        <rFont val="맑은 고딕"/>
        <family val="3"/>
        <charset val="129"/>
        <scheme val="minor"/>
      </rPr>
      <t xml:space="preserve"> /</t>
    </r>
    <phoneticPr fontId="1" type="noConversion"/>
  </si>
  <si>
    <t>Zg /</t>
    <phoneticPr fontId="1" type="noConversion"/>
  </si>
  <si>
    <t>Aw /</t>
    <phoneticPr fontId="1" type="noConversion"/>
  </si>
  <si>
    <t>As /</t>
    <phoneticPr fontId="1" type="noConversion"/>
  </si>
  <si>
    <t>mm</t>
    <phoneticPr fontId="1" type="noConversion"/>
  </si>
  <si>
    <t>beff =</t>
    <phoneticPr fontId="1" type="noConversion"/>
  </si>
  <si>
    <t>250 x 90 x 12 /16 IA</t>
    <phoneticPr fontId="1" type="noConversion"/>
  </si>
  <si>
    <t>Plt thk =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</si>
  <si>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2"/>
      </rPr>
      <t>m</t>
    </r>
    <phoneticPr fontId="1" type="noConversion"/>
  </si>
  <si>
    <t>Material factor</t>
    <phoneticPr fontId="1" type="noConversion"/>
  </si>
  <si>
    <t>Fixation parameter</t>
    <phoneticPr fontId="1" type="noConversion"/>
  </si>
  <si>
    <t>Bottom Shell in Block-3 - External sea pressure(transit conditions)</t>
    <phoneticPr fontId="1" type="noConversion"/>
  </si>
  <si>
    <t>tc =</t>
    <phoneticPr fontId="1" type="noConversion"/>
  </si>
  <si>
    <t xml:space="preserve">km = </t>
    <phoneticPr fontId="1" type="noConversion"/>
  </si>
  <si>
    <r>
      <t>k</t>
    </r>
    <r>
      <rPr>
        <sz val="8"/>
        <color theme="1"/>
        <rFont val="Symbol"/>
        <family val="1"/>
        <charset val="2"/>
      </rPr>
      <t xml:space="preserve">t </t>
    </r>
    <r>
      <rPr>
        <sz val="8"/>
        <color theme="1"/>
        <rFont val="맑은 고딕"/>
        <family val="3"/>
        <charset val="129"/>
        <scheme val="minor"/>
      </rPr>
      <t>=</t>
    </r>
    <phoneticPr fontId="1" type="noConversion"/>
  </si>
  <si>
    <t>Girders</t>
    <phoneticPr fontId="1" type="noConversion"/>
  </si>
  <si>
    <t>2000x12+200x16 TB</t>
    <phoneticPr fontId="1" type="noConversion"/>
  </si>
  <si>
    <t>Water Head  -</t>
    <phoneticPr fontId="1" type="noConversion"/>
  </si>
  <si>
    <t>250 x 90 x 12 /16 IA</t>
  </si>
  <si>
    <t>Aw =</t>
    <phoneticPr fontId="1" type="noConversion"/>
  </si>
  <si>
    <r>
      <rPr>
        <sz val="8"/>
        <color theme="1"/>
        <rFont val="Symbol"/>
        <family val="1"/>
        <charset val="2"/>
      </rPr>
      <t>g</t>
    </r>
    <r>
      <rPr>
        <sz val="8"/>
        <color theme="1"/>
        <rFont val="맑은 고딕"/>
        <family val="1"/>
        <charset val="129"/>
      </rPr>
      <t>m /</t>
    </r>
    <phoneticPr fontId="1" type="noConversion"/>
  </si>
  <si>
    <t>beff. (m) =</t>
    <phoneticPr fontId="1" type="noConversion"/>
  </si>
  <si>
    <r>
      <t>Aw(cm</t>
    </r>
    <r>
      <rPr>
        <vertAlign val="superscript"/>
        <sz val="8"/>
        <color theme="1"/>
        <rFont val="맑은 고딕"/>
        <family val="3"/>
        <charset val="129"/>
        <scheme val="minor"/>
      </rPr>
      <t>2</t>
    </r>
    <r>
      <rPr>
        <sz val="8"/>
        <color theme="1"/>
        <rFont val="맑은 고딕"/>
        <family val="3"/>
        <charset val="129"/>
        <scheme val="minor"/>
      </rPr>
      <t>)=</t>
    </r>
    <phoneticPr fontId="1" type="noConversion"/>
  </si>
  <si>
    <r>
      <t>Z(cm</t>
    </r>
    <r>
      <rPr>
        <vertAlign val="superscript"/>
        <sz val="8"/>
        <color theme="1"/>
        <rFont val="맑은 고딕"/>
        <family val="3"/>
        <charset val="129"/>
        <scheme val="minor"/>
      </rPr>
      <t>3</t>
    </r>
    <r>
      <rPr>
        <sz val="8"/>
        <color theme="1"/>
        <rFont val="맑은 고딕"/>
        <family val="3"/>
        <charset val="129"/>
        <scheme val="minor"/>
      </rPr>
      <t>)=</t>
    </r>
    <phoneticPr fontId="1" type="noConversion"/>
  </si>
  <si>
    <t>TE</t>
    <phoneticPr fontId="1" type="noConversion"/>
  </si>
  <si>
    <t>zb</t>
    <phoneticPr fontId="1" type="noConversion"/>
  </si>
  <si>
    <t>Pe dynamic (environmental) sea pressure</t>
    <phoneticPr fontId="1" type="noConversion"/>
  </si>
  <si>
    <r>
      <t>p</t>
    </r>
    <r>
      <rPr>
        <i/>
        <sz val="8"/>
        <color rgb="FF000000"/>
        <rFont val="Cambria-Italic"/>
        <family val="2"/>
      </rPr>
      <t>s static sea pressure</t>
    </r>
    <phoneticPr fontId="1" type="noConversion"/>
  </si>
  <si>
    <t>kN/m2</t>
    <phoneticPr fontId="1" type="noConversion"/>
  </si>
  <si>
    <t xml:space="preserve">z </t>
    <phoneticPr fontId="1" type="noConversion"/>
  </si>
  <si>
    <t>DD</t>
    <phoneticPr fontId="1" type="noConversion"/>
  </si>
  <si>
    <t>Load Point ( from B/L)</t>
    <phoneticPr fontId="1" type="noConversion"/>
  </si>
  <si>
    <t>Extreme oper. draught</t>
    <phoneticPr fontId="1" type="noConversion"/>
  </si>
  <si>
    <t>trough-to-crest wave height</t>
  </si>
  <si>
    <r>
      <t>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1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</si>
  <si>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=</t>
    </r>
    <phoneticPr fontId="1" type="noConversion"/>
  </si>
  <si>
    <t>H =</t>
    <phoneticPr fontId="1" type="noConversion"/>
  </si>
  <si>
    <t>T =</t>
    <phoneticPr fontId="1" type="noConversion"/>
  </si>
  <si>
    <t>sec</t>
    <phoneticPr fontId="1" type="noConversion"/>
  </si>
  <si>
    <r>
      <rPr>
        <sz val="9"/>
        <color theme="1"/>
        <rFont val="Symbol"/>
        <family val="1"/>
        <charset val="2"/>
      </rPr>
      <t xml:space="preserve">w </t>
    </r>
    <r>
      <rPr>
        <sz val="9"/>
        <color theme="1"/>
        <rFont val="맑은 고딕"/>
        <family val="3"/>
        <charset val="129"/>
        <scheme val="minor"/>
      </rPr>
      <t>=</t>
    </r>
    <phoneticPr fontId="1" type="noConversion"/>
  </si>
  <si>
    <t>angular wave frequency</t>
  </si>
  <si>
    <t>from the moulded baseline to the wave crest.</t>
    <phoneticPr fontId="1" type="noConversion"/>
  </si>
  <si>
    <t>zb =</t>
    <phoneticPr fontId="1" type="noConversion"/>
  </si>
  <si>
    <t>from the moulded base line to the load point</t>
  </si>
  <si>
    <r>
      <rPr>
        <sz val="9"/>
        <color theme="1"/>
        <rFont val="Symbol"/>
        <family val="1"/>
        <charset val="2"/>
      </rPr>
      <t xml:space="preserve">l </t>
    </r>
    <r>
      <rPr>
        <sz val="9"/>
        <color theme="1"/>
        <rFont val="맑은 고딕"/>
        <family val="2"/>
        <charset val="129"/>
        <scheme val="minor"/>
      </rPr>
      <t>=</t>
    </r>
    <phoneticPr fontId="1" type="noConversion"/>
  </si>
  <si>
    <t>wave length</t>
    <phoneticPr fontId="1" type="noConversion"/>
  </si>
  <si>
    <t>z =</t>
    <phoneticPr fontId="1" type="noConversion"/>
  </si>
  <si>
    <t xml:space="preserve">water head (TE - zb) </t>
    <phoneticPr fontId="1" type="noConversion"/>
  </si>
  <si>
    <t>from mean free surface (defined as positive)</t>
    <phoneticPr fontId="1" type="noConversion"/>
  </si>
  <si>
    <t>x =</t>
    <phoneticPr fontId="1" type="noConversion"/>
  </si>
  <si>
    <t>c =</t>
    <phoneticPr fontId="1" type="noConversion"/>
  </si>
  <si>
    <t>k =</t>
    <phoneticPr fontId="1" type="noConversion"/>
  </si>
  <si>
    <t>wave number</t>
    <phoneticPr fontId="1" type="noConversion"/>
  </si>
  <si>
    <t>distance of propagation</t>
    <phoneticPr fontId="1" type="noConversion"/>
  </si>
  <si>
    <t>wave celerity</t>
    <phoneticPr fontId="1" type="noConversion"/>
  </si>
  <si>
    <t>period</t>
    <phoneticPr fontId="1" type="noConversion"/>
  </si>
  <si>
    <t>q =</t>
    <phoneticPr fontId="1" type="noConversion"/>
  </si>
  <si>
    <t>phase angle</t>
  </si>
  <si>
    <t>rad</t>
    <phoneticPr fontId="1" type="noConversion"/>
  </si>
  <si>
    <t>External Sea Pressure</t>
    <phoneticPr fontId="1" type="noConversion"/>
  </si>
  <si>
    <t>Members</t>
    <phoneticPr fontId="1" type="noConversion"/>
  </si>
  <si>
    <t>fy =</t>
    <phoneticPr fontId="1" type="noConversion"/>
  </si>
  <si>
    <t>Design yield stress</t>
    <phoneticPr fontId="1" type="noConversion"/>
  </si>
  <si>
    <t>Minimum yield Stress</t>
    <phoneticPr fontId="1" type="noConversion"/>
  </si>
  <si>
    <t>fyd =</t>
    <phoneticPr fontId="1" type="noConversion"/>
  </si>
  <si>
    <r>
      <rPr>
        <sz val="9"/>
        <color theme="1"/>
        <rFont val="Symbol"/>
        <family val="1"/>
        <charset val="2"/>
      </rPr>
      <t>g</t>
    </r>
    <r>
      <rPr>
        <sz val="9"/>
        <color theme="1"/>
        <rFont val="맑은 고딕"/>
        <family val="1"/>
        <charset val="129"/>
      </rPr>
      <t>m =</t>
    </r>
    <phoneticPr fontId="1" type="noConversion"/>
  </si>
  <si>
    <t>h =</t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</si>
  <si>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1"/>
        <charset val="2"/>
      </rPr>
      <t xml:space="preserve">jd = </t>
    </r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</si>
  <si>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1"/>
        <charset val="2"/>
      </rPr>
      <t>jd /</t>
    </r>
    <phoneticPr fontId="1" type="noConversion"/>
  </si>
  <si>
    <r>
      <rPr>
        <sz val="9"/>
        <color theme="1"/>
        <rFont val="Symbol"/>
        <family val="1"/>
        <charset val="2"/>
      </rPr>
      <t>s</t>
    </r>
    <r>
      <rPr>
        <sz val="9"/>
        <color theme="1"/>
        <rFont val="맑은 고딕"/>
        <family val="3"/>
        <charset val="129"/>
        <scheme val="minor"/>
      </rPr>
      <t>pd1</t>
    </r>
    <r>
      <rPr>
        <sz val="9"/>
        <color theme="1"/>
        <rFont val="맑은 고딕"/>
        <family val="1"/>
        <charset val="2"/>
        <scheme val="minor"/>
      </rPr>
      <t xml:space="preserve"> /</t>
    </r>
    <phoneticPr fontId="1" type="noConversion"/>
  </si>
  <si>
    <r>
      <rPr>
        <sz val="9"/>
        <color theme="1"/>
        <rFont val="Symbol"/>
        <family val="1"/>
        <charset val="2"/>
      </rPr>
      <t>g,</t>
    </r>
    <r>
      <rPr>
        <sz val="9"/>
        <color theme="1"/>
        <rFont val="맑은 고딕"/>
        <family val="3"/>
        <charset val="129"/>
        <scheme val="minor"/>
      </rPr>
      <t>m</t>
    </r>
    <r>
      <rPr>
        <sz val="9"/>
        <color theme="1"/>
        <rFont val="맑은 고딕"/>
        <family val="1"/>
        <charset val="2"/>
        <scheme val="minor"/>
      </rPr>
      <t xml:space="preserve"> /</t>
    </r>
    <phoneticPr fontId="1" type="noConversion"/>
  </si>
  <si>
    <t>kpp =</t>
    <phoneticPr fontId="1" type="noConversion"/>
  </si>
  <si>
    <t>tc /</t>
    <phoneticPr fontId="1" type="noConversion"/>
  </si>
  <si>
    <t>ka /</t>
    <phoneticPr fontId="1" type="noConversion"/>
  </si>
  <si>
    <t>kpp /</t>
    <phoneticPr fontId="1" type="noConversion"/>
  </si>
  <si>
    <t>space /</t>
    <phoneticPr fontId="1" type="noConversion"/>
  </si>
  <si>
    <t>span /</t>
    <phoneticPr fontId="1" type="noConversion"/>
  </si>
  <si>
    <t>Pe /</t>
    <phoneticPr fontId="1" type="noConversion"/>
  </si>
  <si>
    <t>Equivalent design stress</t>
    <phoneticPr fontId="1" type="noConversion"/>
  </si>
  <si>
    <t>aspect ratio correction fac.</t>
    <phoneticPr fontId="1" type="noConversion"/>
  </si>
  <si>
    <t>corrosion addition</t>
    <phoneticPr fontId="1" type="noConversion"/>
  </si>
  <si>
    <t>Pi /</t>
    <phoneticPr fontId="1" type="noConversion"/>
  </si>
  <si>
    <t>l.p /</t>
    <phoneticPr fontId="1" type="noConversion"/>
  </si>
  <si>
    <t>external sea pressure for ultimate limit state</t>
    <phoneticPr fontId="1" type="noConversion"/>
  </si>
  <si>
    <r>
      <t>Ps/</t>
    </r>
    <r>
      <rPr>
        <sz val="9"/>
        <color theme="1"/>
        <rFont val="Symbol"/>
        <family val="1"/>
        <charset val="2"/>
      </rPr>
      <t>g</t>
    </r>
    <r>
      <rPr>
        <vertAlign val="subscript"/>
        <sz val="9"/>
        <color theme="1"/>
        <rFont val="맑은 고딕"/>
        <family val="3"/>
        <charset val="129"/>
        <scheme val="minor"/>
      </rPr>
      <t>f,G,Q</t>
    </r>
    <phoneticPr fontId="1" type="noConversion"/>
  </si>
  <si>
    <t>ze =</t>
    <phoneticPr fontId="1" type="noConversion"/>
  </si>
  <si>
    <r>
      <t>T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2"/>
        <charset val="129"/>
        <scheme val="minor"/>
      </rPr>
      <t xml:space="preserve"> / z / H / T / D</t>
    </r>
    <r>
      <rPr>
        <vertAlign val="superscript"/>
        <sz val="9"/>
        <color theme="1"/>
        <rFont val="맑은 고딕"/>
        <family val="3"/>
        <charset val="129"/>
        <scheme val="minor"/>
      </rPr>
      <t>D</t>
    </r>
    <phoneticPr fontId="1" type="noConversion"/>
  </si>
  <si>
    <t>Internal tank pressure</t>
    <phoneticPr fontId="1" type="noConversion"/>
  </si>
  <si>
    <t>tank height</t>
    <phoneticPr fontId="1" type="noConversion"/>
  </si>
  <si>
    <t>Load factor for static</t>
    <phoneticPr fontId="1" type="noConversion"/>
  </si>
  <si>
    <t>Load factor for wave</t>
    <phoneticPr fontId="1" type="noConversion"/>
  </si>
  <si>
    <r>
      <t>Pd/</t>
    </r>
    <r>
      <rPr>
        <sz val="9"/>
        <color theme="1"/>
        <rFont val="Symbol"/>
        <family val="1"/>
        <charset val="2"/>
      </rPr>
      <t>g</t>
    </r>
    <r>
      <rPr>
        <vertAlign val="subscript"/>
        <sz val="9"/>
        <color theme="1"/>
        <rFont val="맑은 고딕"/>
        <family val="3"/>
        <charset val="129"/>
        <scheme val="minor"/>
      </rPr>
      <t>f,E</t>
    </r>
    <phoneticPr fontId="1" type="noConversion"/>
  </si>
  <si>
    <t>4.29/4.29/15.04/11.4/11.81</t>
    <phoneticPr fontId="1" type="noConversion"/>
  </si>
  <si>
    <t>hop =</t>
    <phoneticPr fontId="1" type="noConversion"/>
  </si>
  <si>
    <r>
      <t>g</t>
    </r>
    <r>
      <rPr>
        <sz val="9"/>
        <color theme="1"/>
        <rFont val="맑은 고딕"/>
        <family val="3"/>
        <charset val="129"/>
        <scheme val="minor"/>
      </rPr>
      <t>f,</t>
    </r>
    <r>
      <rPr>
        <vertAlign val="subscript"/>
        <sz val="9"/>
        <color theme="1"/>
        <rFont val="맑은 고딕"/>
        <family val="3"/>
        <charset val="129"/>
        <scheme val="minor"/>
      </rPr>
      <t xml:space="preserve">G,Q </t>
    </r>
    <r>
      <rPr>
        <sz val="9"/>
        <color theme="1"/>
        <rFont val="맑은 고딕"/>
        <family val="3"/>
        <charset val="129"/>
        <scheme val="minor"/>
      </rPr>
      <t>=</t>
    </r>
    <phoneticPr fontId="1" type="noConversion"/>
  </si>
  <si>
    <r>
      <t>g</t>
    </r>
    <r>
      <rPr>
        <sz val="9"/>
        <color theme="1"/>
        <rFont val="맑은 고딕"/>
        <family val="3"/>
        <charset val="129"/>
        <scheme val="minor"/>
      </rPr>
      <t>f,</t>
    </r>
    <r>
      <rPr>
        <vertAlign val="subscript"/>
        <sz val="9"/>
        <color theme="1"/>
        <rFont val="맑은 고딕"/>
        <family val="3"/>
        <charset val="129"/>
        <scheme val="minor"/>
      </rPr>
      <t>E</t>
    </r>
    <r>
      <rPr>
        <sz val="9"/>
        <color theme="1"/>
        <rFont val="맑은 고딕"/>
        <family val="3"/>
        <charset val="129"/>
        <scheme val="minor"/>
      </rPr>
      <t xml:space="preserve"> =</t>
    </r>
    <phoneticPr fontId="1" type="noConversion"/>
  </si>
  <si>
    <t>internal tank pressure</t>
    <phoneticPr fontId="1" type="noConversion"/>
  </si>
  <si>
    <t>4.29/4.29/15.04/11.4/11.81</t>
  </si>
  <si>
    <t>treq+tc</t>
    <phoneticPr fontId="1" type="noConversion"/>
  </si>
  <si>
    <t>4.29/1.39/15.04/11.4/11.81</t>
    <phoneticPr fontId="1" type="noConversion"/>
  </si>
  <si>
    <t>4.29/1.51/15.04/11.4/11.81</t>
    <phoneticPr fontId="1" type="noConversion"/>
  </si>
  <si>
    <t>Block-1, Block-2 Side Shell -1</t>
    <phoneticPr fontId="1" type="noConversion"/>
  </si>
  <si>
    <t>Block-1, Block-2 Bottom Shell</t>
    <phoneticPr fontId="1" type="noConversion"/>
  </si>
  <si>
    <t>Block-1, Block-2 Side Shell -2</t>
    <phoneticPr fontId="1" type="noConversion"/>
  </si>
  <si>
    <t>Block-1, Block-2 Side Shell -3</t>
    <phoneticPr fontId="1" type="noConversion"/>
  </si>
  <si>
    <t>Block-1, Block-2 Deck</t>
    <phoneticPr fontId="1" type="noConversion"/>
  </si>
  <si>
    <t>4.29/6.21/15.04/11.4/11.81</t>
    <phoneticPr fontId="1" type="noConversion"/>
  </si>
  <si>
    <t>Block-2 Deck</t>
    <phoneticPr fontId="1" type="noConversion"/>
  </si>
  <si>
    <t>4.29/2.71/15.04/11.4/11.81</t>
    <phoneticPr fontId="1" type="noConversion"/>
  </si>
  <si>
    <t>Block-3 Bottom Shell</t>
    <phoneticPr fontId="1" type="noConversion"/>
  </si>
  <si>
    <t>Block-3 Side Shell-1</t>
    <phoneticPr fontId="1" type="noConversion"/>
  </si>
  <si>
    <t>Block-3 Side Shell-2</t>
    <phoneticPr fontId="1" type="noConversion"/>
  </si>
  <si>
    <t>Block-3 Side Shell-3</t>
    <phoneticPr fontId="1" type="noConversion"/>
  </si>
  <si>
    <t>Block-3 Deck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</si>
</sst>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0"/>
    <numFmt numFmtId="178" formatCode="0.00_ "/>
  </numFmts>
  <fonts count="4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Symbol"/>
      <family val="1"/>
      <charset val="2"/>
    </font>
    <font>
      <sz val="11"/>
      <color theme="1"/>
      <name val="맑은 고딕"/>
      <family val="1"/>
      <charset val="2"/>
    </font>
    <font>
      <u/>
      <sz val="11"/>
      <color theme="1"/>
      <name val="맑은 고딕"/>
      <family val="2"/>
      <charset val="129"/>
      <scheme val="minor"/>
    </font>
    <font>
      <b/>
      <i/>
      <sz val="16"/>
      <color theme="1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vertAlign val="subscript"/>
      <sz val="11"/>
      <color theme="1"/>
      <name val="Arial"/>
      <family val="2"/>
    </font>
    <font>
      <sz val="11"/>
      <color theme="1"/>
      <name val="맑은 고딕"/>
      <family val="3"/>
      <charset val="129"/>
      <scheme val="minor"/>
    </font>
    <font>
      <b/>
      <i/>
      <u/>
      <sz val="11"/>
      <color theme="1"/>
      <name val="맑은 고딕"/>
      <family val="3"/>
      <charset val="129"/>
      <scheme val="minor"/>
    </font>
    <font>
      <vertAlign val="superscript"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1"/>
      <name val="Arial"/>
      <family val="2"/>
    </font>
    <font>
      <sz val="11"/>
      <color theme="0" tint="-0.14999847407452621"/>
      <name val="맑은 고딕"/>
      <family val="1"/>
      <charset val="2"/>
    </font>
    <font>
      <sz val="11"/>
      <color theme="0" tint="-0.14999847407452621"/>
      <name val="Symbol"/>
      <family val="1"/>
      <charset val="2"/>
    </font>
    <font>
      <vertAlign val="subscript"/>
      <sz val="11"/>
      <color theme="0" tint="-0.14999847407452621"/>
      <name val="Arial"/>
      <family val="2"/>
    </font>
    <font>
      <sz val="11"/>
      <color theme="0" tint="-0.14999847407452621"/>
      <name val="맑은 고딕"/>
      <family val="2"/>
      <charset val="129"/>
      <scheme val="minor"/>
    </font>
    <font>
      <sz val="11"/>
      <color theme="1"/>
      <name val="맑은 고딕"/>
      <family val="1"/>
      <charset val="2"/>
      <scheme val="minor"/>
    </font>
    <font>
      <sz val="11"/>
      <color theme="0" tint="-0.14999847407452621"/>
      <name val="Arial"/>
      <family val="2"/>
    </font>
    <font>
      <sz val="9"/>
      <color theme="1"/>
      <name val="맑은 고딕"/>
      <family val="2"/>
      <charset val="129"/>
      <scheme val="minor"/>
    </font>
    <font>
      <sz val="9"/>
      <color theme="1"/>
      <name val="Symbol"/>
      <family val="1"/>
      <charset val="2"/>
    </font>
    <font>
      <vertAlign val="subscript"/>
      <sz val="9"/>
      <color theme="1"/>
      <name val="Arial"/>
      <family val="2"/>
    </font>
    <font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9"/>
      <color theme="1"/>
      <name val="Arial"/>
      <family val="2"/>
    </font>
    <font>
      <vertAlign val="superscript"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2"/>
      <scheme val="minor"/>
    </font>
    <font>
      <sz val="8"/>
      <color rgb="FF000000"/>
      <name val="맑은 고딕"/>
      <family val="3"/>
      <charset val="129"/>
    </font>
    <font>
      <sz val="8"/>
      <color theme="1"/>
      <name val="맑은 고딕"/>
      <family val="1"/>
      <charset val="2"/>
    </font>
    <font>
      <sz val="8"/>
      <color theme="1"/>
      <name val="Symbol"/>
      <family val="1"/>
      <charset val="2"/>
    </font>
    <font>
      <sz val="8"/>
      <name val="Symbol"/>
      <family val="1"/>
      <charset val="2"/>
    </font>
    <font>
      <sz val="8"/>
      <color theme="1"/>
      <name val="맑은 고딕"/>
      <family val="1"/>
      <charset val="129"/>
    </font>
    <font>
      <vertAlign val="superscript"/>
      <sz val="8"/>
      <color theme="1"/>
      <name val="맑은 고딕"/>
      <family val="3"/>
      <charset val="129"/>
      <scheme val="minor"/>
    </font>
    <font>
      <i/>
      <sz val="8"/>
      <color rgb="FF000000"/>
      <name val="Cambria-Italic"/>
      <family val="2"/>
    </font>
    <font>
      <i/>
      <sz val="11"/>
      <color rgb="FF000000"/>
      <name val="Cambria-Italic"/>
      <family val="2"/>
    </font>
    <font>
      <sz val="9"/>
      <color rgb="FF000000"/>
      <name val="Verdana"/>
      <family val="2"/>
    </font>
    <font>
      <sz val="11"/>
      <color theme="1"/>
      <name val="맑은 고딕"/>
      <family val="2"/>
      <charset val="129"/>
      <scheme val="minor"/>
    </font>
    <font>
      <vertAlign val="subscript"/>
      <sz val="9"/>
      <color theme="1"/>
      <name val="맑은 고딕"/>
      <family val="3"/>
      <charset val="129"/>
      <scheme val="minor"/>
    </font>
    <font>
      <b/>
      <u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1"/>
      <charset val="129"/>
    </font>
    <font>
      <sz val="9"/>
      <color theme="1"/>
      <name val="맑은 고딕"/>
      <family val="1"/>
      <charset val="2"/>
    </font>
    <font>
      <i/>
      <sz val="9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/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</borders>
  <cellStyleXfs count="2">
    <xf numFmtId="0" fontId="0" fillId="0" borderId="0">
      <alignment vertical="center"/>
    </xf>
    <xf numFmtId="9" fontId="37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0" fillId="0" borderId="1" xfId="0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3" fillId="0" borderId="1" xfId="0" quotePrefix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176" fontId="16" fillId="2" borderId="1" xfId="0" applyNumberFormat="1" applyFont="1" applyFill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>
      <alignment vertical="center"/>
    </xf>
    <xf numFmtId="1" fontId="0" fillId="0" borderId="1" xfId="0" applyNumberFormat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1" fillId="3" borderId="0" xfId="0" applyFont="1" applyFill="1">
      <alignment vertical="center"/>
    </xf>
    <xf numFmtId="2" fontId="0" fillId="0" borderId="0" xfId="0" applyNumberFormat="1">
      <alignment vertical="center"/>
    </xf>
    <xf numFmtId="0" fontId="11" fillId="3" borderId="0" xfId="0" applyFont="1" applyFill="1" applyAlignment="1">
      <alignment horizontal="center" vertical="center"/>
    </xf>
    <xf numFmtId="0" fontId="22" fillId="5" borderId="2" xfId="0" applyFont="1" applyFill="1" applyBorder="1" applyAlignment="1">
      <alignment horizontal="center" vertical="center"/>
    </xf>
    <xf numFmtId="0" fontId="23" fillId="5" borderId="8" xfId="0" applyFont="1" applyFill="1" applyBorder="1" applyAlignment="1">
      <alignment horizontal="center" vertical="center"/>
    </xf>
    <xf numFmtId="0" fontId="23" fillId="5" borderId="9" xfId="0" applyFont="1" applyFill="1" applyBorder="1" applyAlignment="1">
      <alignment horizontal="center" vertical="center"/>
    </xf>
    <xf numFmtId="0" fontId="23" fillId="5" borderId="6" xfId="0" applyFont="1" applyFill="1" applyBorder="1" applyAlignment="1">
      <alignment horizontal="center" vertical="center"/>
    </xf>
    <xf numFmtId="1" fontId="23" fillId="5" borderId="6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0" xfId="0" applyFont="1" applyFill="1">
      <alignment vertical="center"/>
    </xf>
    <xf numFmtId="0" fontId="22" fillId="3" borderId="0" xfId="0" applyFont="1" applyFill="1">
      <alignment vertical="center"/>
    </xf>
    <xf numFmtId="0" fontId="22" fillId="3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176" fontId="19" fillId="3" borderId="0" xfId="0" applyNumberFormat="1" applyFont="1" applyFill="1" applyAlignment="1">
      <alignment horizontal="center" vertical="center"/>
    </xf>
    <xf numFmtId="1" fontId="19" fillId="3" borderId="0" xfId="0" applyNumberFormat="1" applyFont="1" applyFill="1" applyAlignment="1">
      <alignment horizontal="center" vertical="center"/>
    </xf>
    <xf numFmtId="0" fontId="27" fillId="3" borderId="0" xfId="0" applyFont="1" applyFill="1">
      <alignment vertical="center"/>
    </xf>
    <xf numFmtId="176" fontId="22" fillId="3" borderId="0" xfId="0" applyNumberFormat="1" applyFont="1" applyFill="1" applyAlignment="1">
      <alignment horizontal="center" vertical="center"/>
    </xf>
    <xf numFmtId="176" fontId="22" fillId="3" borderId="0" xfId="0" applyNumberFormat="1" applyFont="1" applyFill="1">
      <alignment vertical="center"/>
    </xf>
    <xf numFmtId="0" fontId="19" fillId="4" borderId="1" xfId="0" applyFont="1" applyFill="1" applyBorder="1" applyAlignment="1">
      <alignment horizontal="center" vertical="center"/>
    </xf>
    <xf numFmtId="0" fontId="22" fillId="5" borderId="0" xfId="0" applyFont="1" applyFill="1" applyAlignment="1">
      <alignment horizontal="center" vertical="center"/>
    </xf>
    <xf numFmtId="0" fontId="23" fillId="5" borderId="0" xfId="0" applyFont="1" applyFill="1">
      <alignment vertical="center"/>
    </xf>
    <xf numFmtId="0" fontId="23" fillId="5" borderId="0" xfId="0" applyFont="1" applyFill="1" applyAlignment="1">
      <alignment horizontal="center" vertical="center"/>
    </xf>
    <xf numFmtId="0" fontId="23" fillId="5" borderId="0" xfId="0" applyFont="1" applyFill="1" applyAlignment="1">
      <alignment horizontal="center" vertical="center" wrapText="1"/>
    </xf>
    <xf numFmtId="0" fontId="24" fillId="5" borderId="0" xfId="0" applyFont="1" applyFill="1" applyAlignment="1">
      <alignment horizontal="center" vertical="center"/>
    </xf>
    <xf numFmtId="1" fontId="23" fillId="5" borderId="0" xfId="0" applyNumberFormat="1" applyFont="1" applyFill="1" applyAlignment="1">
      <alignment horizontal="center" vertical="center"/>
    </xf>
    <xf numFmtId="177" fontId="23" fillId="5" borderId="0" xfId="0" applyNumberFormat="1" applyFont="1" applyFill="1" applyAlignment="1">
      <alignment horizontal="center" vertical="center"/>
    </xf>
    <xf numFmtId="176" fontId="23" fillId="5" borderId="0" xfId="0" applyNumberFormat="1" applyFont="1" applyFill="1" applyAlignment="1">
      <alignment horizontal="center" vertical="center"/>
    </xf>
    <xf numFmtId="0" fontId="23" fillId="5" borderId="6" xfId="0" applyFont="1" applyFill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/>
    </xf>
    <xf numFmtId="0" fontId="0" fillId="5" borderId="0" xfId="0" applyFill="1">
      <alignment vertical="center"/>
    </xf>
    <xf numFmtId="0" fontId="22" fillId="5" borderId="9" xfId="0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center" vertical="center"/>
    </xf>
    <xf numFmtId="0" fontId="22" fillId="5" borderId="4" xfId="0" applyFont="1" applyFill="1" applyBorder="1" applyAlignment="1">
      <alignment horizontal="center" vertical="center"/>
    </xf>
    <xf numFmtId="0" fontId="22" fillId="5" borderId="3" xfId="0" applyFont="1" applyFill="1" applyBorder="1" applyAlignment="1">
      <alignment horizontal="left" vertical="center"/>
    </xf>
    <xf numFmtId="176" fontId="19" fillId="5" borderId="0" xfId="0" applyNumberFormat="1" applyFont="1" applyFill="1">
      <alignment vertical="center"/>
    </xf>
    <xf numFmtId="0" fontId="11" fillId="5" borderId="0" xfId="0" applyFont="1" applyFill="1">
      <alignment vertical="center"/>
    </xf>
    <xf numFmtId="0" fontId="23" fillId="5" borderId="2" xfId="0" applyFont="1" applyFill="1" applyBorder="1" applyAlignment="1">
      <alignment horizontal="center" vertical="center"/>
    </xf>
    <xf numFmtId="0" fontId="23" fillId="5" borderId="3" xfId="0" applyFont="1" applyFill="1" applyBorder="1" applyAlignment="1">
      <alignment horizontal="left" vertical="center"/>
    </xf>
    <xf numFmtId="0" fontId="23" fillId="5" borderId="3" xfId="0" applyFont="1" applyFill="1" applyBorder="1" applyAlignment="1">
      <alignment horizontal="center" vertical="center"/>
    </xf>
    <xf numFmtId="0" fontId="23" fillId="5" borderId="4" xfId="0" applyFont="1" applyFill="1" applyBorder="1" applyAlignment="1">
      <alignment horizontal="center" vertical="center"/>
    </xf>
    <xf numFmtId="0" fontId="29" fillId="5" borderId="0" xfId="0" applyFont="1" applyFill="1" applyAlignment="1">
      <alignment horizontal="center" vertical="center"/>
    </xf>
    <xf numFmtId="0" fontId="23" fillId="5" borderId="5" xfId="0" applyFont="1" applyFill="1" applyBorder="1" applyAlignment="1">
      <alignment horizontal="center" vertical="center"/>
    </xf>
    <xf numFmtId="1" fontId="23" fillId="5" borderId="7" xfId="0" applyNumberFormat="1" applyFont="1" applyFill="1" applyBorder="1" applyAlignment="1">
      <alignment horizontal="center" vertical="center"/>
    </xf>
    <xf numFmtId="177" fontId="23" fillId="5" borderId="6" xfId="0" applyNumberFormat="1" applyFont="1" applyFill="1" applyBorder="1" applyAlignment="1">
      <alignment horizontal="center" vertical="center"/>
    </xf>
    <xf numFmtId="0" fontId="23" fillId="3" borderId="0" xfId="0" applyFont="1" applyFill="1" applyAlignment="1">
      <alignment horizontal="right" vertical="center"/>
    </xf>
    <xf numFmtId="0" fontId="23" fillId="3" borderId="0" xfId="0" applyFont="1" applyFill="1" applyAlignment="1">
      <alignment horizontal="center" vertical="center"/>
    </xf>
    <xf numFmtId="176" fontId="23" fillId="3" borderId="0" xfId="0" applyNumberFormat="1" applyFont="1" applyFill="1" applyAlignment="1">
      <alignment horizontal="right" vertical="center"/>
    </xf>
    <xf numFmtId="0" fontId="23" fillId="3" borderId="8" xfId="0" applyFont="1" applyFill="1" applyBorder="1" applyAlignment="1">
      <alignment horizontal="center" vertical="center"/>
    </xf>
    <xf numFmtId="0" fontId="23" fillId="3" borderId="0" xfId="0" applyFont="1" applyFill="1" applyAlignment="1">
      <alignment horizontal="left" vertical="center"/>
    </xf>
    <xf numFmtId="0" fontId="23" fillId="3" borderId="0" xfId="0" applyFont="1" applyFill="1">
      <alignment vertical="center"/>
    </xf>
    <xf numFmtId="0" fontId="23" fillId="3" borderId="9" xfId="0" applyFont="1" applyFill="1" applyBorder="1" applyAlignment="1">
      <alignment horizontal="center" vertical="center"/>
    </xf>
    <xf numFmtId="0" fontId="29" fillId="3" borderId="0" xfId="0" applyFont="1" applyFill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 wrapText="1"/>
    </xf>
    <xf numFmtId="1" fontId="24" fillId="3" borderId="6" xfId="0" applyNumberFormat="1" applyFont="1" applyFill="1" applyBorder="1" applyAlignment="1">
      <alignment horizontal="center" vertical="center"/>
    </xf>
    <xf numFmtId="0" fontId="23" fillId="3" borderId="6" xfId="0" applyFont="1" applyFill="1" applyBorder="1" applyAlignment="1">
      <alignment horizontal="center" vertical="center"/>
    </xf>
    <xf numFmtId="1" fontId="23" fillId="3" borderId="6" xfId="0" applyNumberFormat="1" applyFont="1" applyFill="1" applyBorder="1" applyAlignment="1">
      <alignment horizontal="center" vertical="center"/>
    </xf>
    <xf numFmtId="1" fontId="23" fillId="3" borderId="7" xfId="0" applyNumberFormat="1" applyFont="1" applyFill="1" applyBorder="1" applyAlignment="1">
      <alignment horizontal="center" vertical="center"/>
    </xf>
    <xf numFmtId="0" fontId="23" fillId="5" borderId="0" xfId="0" applyFont="1" applyFill="1" applyAlignment="1">
      <alignment horizontal="left" vertical="center"/>
    </xf>
    <xf numFmtId="1" fontId="24" fillId="5" borderId="6" xfId="0" applyNumberFormat="1" applyFont="1" applyFill="1" applyBorder="1" applyAlignment="1">
      <alignment horizontal="center" vertical="center"/>
    </xf>
    <xf numFmtId="0" fontId="23" fillId="5" borderId="8" xfId="0" applyFont="1" applyFill="1" applyBorder="1">
      <alignment vertical="center"/>
    </xf>
    <xf numFmtId="0" fontId="19" fillId="5" borderId="1" xfId="0" applyFont="1" applyFill="1" applyBorder="1" applyAlignment="1">
      <alignment horizontal="center" vertical="center"/>
    </xf>
    <xf numFmtId="0" fontId="19" fillId="5" borderId="1" xfId="0" applyFont="1" applyFill="1" applyBorder="1">
      <alignment vertical="center"/>
    </xf>
    <xf numFmtId="177" fontId="23" fillId="5" borderId="1" xfId="0" applyNumberFormat="1" applyFont="1" applyFill="1" applyBorder="1">
      <alignment vertical="center"/>
    </xf>
    <xf numFmtId="177" fontId="22" fillId="5" borderId="1" xfId="0" applyNumberFormat="1" applyFont="1" applyFill="1" applyBorder="1">
      <alignment vertical="center"/>
    </xf>
    <xf numFmtId="0" fontId="22" fillId="5" borderId="13" xfId="0" applyFont="1" applyFill="1" applyBorder="1">
      <alignment vertical="center"/>
    </xf>
    <xf numFmtId="0" fontId="19" fillId="4" borderId="10" xfId="0" applyFont="1" applyFill="1" applyBorder="1">
      <alignment vertical="center"/>
    </xf>
    <xf numFmtId="0" fontId="19" fillId="4" borderId="11" xfId="0" applyFont="1" applyFill="1" applyBorder="1">
      <alignment vertical="center"/>
    </xf>
    <xf numFmtId="0" fontId="19" fillId="4" borderId="12" xfId="0" applyFont="1" applyFill="1" applyBorder="1">
      <alignment vertical="center"/>
    </xf>
    <xf numFmtId="0" fontId="22" fillId="5" borderId="13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5" fillId="0" borderId="0" xfId="0" applyFont="1">
      <alignment vertical="center"/>
    </xf>
    <xf numFmtId="0" fontId="36" fillId="0" borderId="0" xfId="0" applyFont="1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6" borderId="0" xfId="0" applyFill="1">
      <alignment vertical="center"/>
    </xf>
    <xf numFmtId="0" fontId="22" fillId="3" borderId="0" xfId="0" applyFont="1" applyFill="1" applyAlignment="1">
      <alignment horizontal="right" vertical="center"/>
    </xf>
    <xf numFmtId="0" fontId="19" fillId="3" borderId="0" xfId="0" applyFont="1" applyFill="1" applyAlignment="1">
      <alignment horizontal="right" vertical="center"/>
    </xf>
    <xf numFmtId="0" fontId="27" fillId="3" borderId="0" xfId="0" applyFont="1" applyFill="1" applyAlignment="1">
      <alignment horizontal="right" vertical="center"/>
    </xf>
    <xf numFmtId="2" fontId="19" fillId="5" borderId="1" xfId="0" applyNumberFormat="1" applyFont="1" applyFill="1" applyBorder="1" applyAlignment="1">
      <alignment horizontal="center" vertical="center"/>
    </xf>
    <xf numFmtId="176" fontId="22" fillId="5" borderId="1" xfId="0" applyNumberFormat="1" applyFont="1" applyFill="1" applyBorder="1" applyAlignment="1">
      <alignment horizontal="center" vertical="center"/>
    </xf>
    <xf numFmtId="177" fontId="19" fillId="5" borderId="1" xfId="0" applyNumberFormat="1" applyFont="1" applyFill="1" applyBorder="1" applyAlignment="1">
      <alignment horizontal="center" vertical="center"/>
    </xf>
    <xf numFmtId="178" fontId="19" fillId="5" borderId="1" xfId="0" applyNumberFormat="1" applyFont="1" applyFill="1" applyBorder="1" applyAlignment="1">
      <alignment horizontal="center" vertical="center"/>
    </xf>
    <xf numFmtId="177" fontId="22" fillId="5" borderId="1" xfId="0" applyNumberFormat="1" applyFont="1" applyFill="1" applyBorder="1" applyAlignment="1">
      <alignment horizontal="center" vertical="center"/>
    </xf>
    <xf numFmtId="0" fontId="20" fillId="3" borderId="0" xfId="0" applyFont="1" applyFill="1" applyAlignment="1">
      <alignment horizontal="right" vertical="center"/>
    </xf>
    <xf numFmtId="177" fontId="0" fillId="3" borderId="0" xfId="0" applyNumberFormat="1" applyFill="1">
      <alignment vertical="center"/>
    </xf>
    <xf numFmtId="2" fontId="0" fillId="3" borderId="0" xfId="0" applyNumberFormat="1" applyFill="1" applyAlignment="1">
      <alignment horizontal="center" vertical="center"/>
    </xf>
    <xf numFmtId="177" fontId="0" fillId="3" borderId="0" xfId="1" applyNumberFormat="1" applyFont="1" applyFill="1">
      <alignment vertical="center"/>
    </xf>
    <xf numFmtId="2" fontId="22" fillId="5" borderId="1" xfId="0" applyNumberFormat="1" applyFont="1" applyFill="1" applyBorder="1" applyAlignment="1">
      <alignment horizontal="center" vertical="center"/>
    </xf>
    <xf numFmtId="0" fontId="39" fillId="3" borderId="0" xfId="0" applyFont="1" applyFill="1">
      <alignment vertical="center"/>
    </xf>
    <xf numFmtId="0" fontId="41" fillId="3" borderId="0" xfId="0" applyFont="1" applyFill="1" applyAlignment="1">
      <alignment horizontal="right" vertical="center"/>
    </xf>
    <xf numFmtId="1" fontId="19" fillId="5" borderId="1" xfId="0" applyNumberFormat="1" applyFont="1" applyFill="1" applyBorder="1" applyAlignment="1">
      <alignment horizontal="center" vertical="center"/>
    </xf>
    <xf numFmtId="2" fontId="22" fillId="5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1" fillId="4" borderId="10" xfId="0" applyFont="1" applyFill="1" applyBorder="1">
      <alignment vertical="center"/>
    </xf>
    <xf numFmtId="0" fontId="11" fillId="4" borderId="11" xfId="0" applyFont="1" applyFill="1" applyBorder="1">
      <alignment vertical="center"/>
    </xf>
    <xf numFmtId="0" fontId="11" fillId="4" borderId="12" xfId="0" applyFont="1" applyFill="1" applyBorder="1">
      <alignment vertical="center"/>
    </xf>
    <xf numFmtId="0" fontId="22" fillId="5" borderId="14" xfId="0" applyFont="1" applyFill="1" applyBorder="1" applyAlignment="1">
      <alignment horizontal="center" vertical="center"/>
    </xf>
    <xf numFmtId="0" fontId="27" fillId="5" borderId="15" xfId="0" applyFont="1" applyFill="1" applyBorder="1" applyAlignment="1">
      <alignment horizontal="center" vertical="center"/>
    </xf>
    <xf numFmtId="0" fontId="19" fillId="5" borderId="15" xfId="0" applyFont="1" applyFill="1" applyBorder="1" applyAlignment="1">
      <alignment horizontal="center" vertical="center"/>
    </xf>
    <xf numFmtId="0" fontId="41" fillId="5" borderId="15" xfId="0" applyFont="1" applyFill="1" applyBorder="1" applyAlignment="1">
      <alignment horizontal="center" vertical="center"/>
    </xf>
    <xf numFmtId="0" fontId="22" fillId="5" borderId="15" xfId="0" applyFont="1" applyFill="1" applyBorder="1" applyAlignment="1">
      <alignment horizontal="center" vertical="center"/>
    </xf>
    <xf numFmtId="0" fontId="22" fillId="5" borderId="16" xfId="0" applyFont="1" applyFill="1" applyBorder="1" applyAlignment="1">
      <alignment horizontal="center" vertical="center"/>
    </xf>
    <xf numFmtId="1" fontId="22" fillId="5" borderId="17" xfId="0" applyNumberFormat="1" applyFont="1" applyFill="1" applyBorder="1" applyAlignment="1">
      <alignment horizontal="center" vertical="center"/>
    </xf>
    <xf numFmtId="2" fontId="22" fillId="5" borderId="18" xfId="0" applyNumberFormat="1" applyFont="1" applyFill="1" applyBorder="1" applyAlignment="1">
      <alignment horizontal="center" vertical="center"/>
    </xf>
    <xf numFmtId="0" fontId="19" fillId="5" borderId="18" xfId="0" applyFont="1" applyFill="1" applyBorder="1" applyAlignment="1">
      <alignment horizontal="center" vertical="center"/>
    </xf>
    <xf numFmtId="0" fontId="22" fillId="5" borderId="18" xfId="0" applyFont="1" applyFill="1" applyBorder="1" applyAlignment="1">
      <alignment horizontal="center" vertical="center"/>
    </xf>
    <xf numFmtId="1" fontId="22" fillId="5" borderId="18" xfId="0" applyNumberFormat="1" applyFont="1" applyFill="1" applyBorder="1" applyAlignment="1">
      <alignment horizontal="center" vertical="center"/>
    </xf>
    <xf numFmtId="0" fontId="19" fillId="5" borderId="15" xfId="0" applyFont="1" applyFill="1" applyBorder="1">
      <alignment vertical="center"/>
    </xf>
    <xf numFmtId="0" fontId="19" fillId="5" borderId="18" xfId="0" applyFont="1" applyFill="1" applyBorder="1">
      <alignment vertical="center"/>
    </xf>
    <xf numFmtId="1" fontId="19" fillId="5" borderId="18" xfId="0" applyNumberFormat="1" applyFont="1" applyFill="1" applyBorder="1" applyAlignment="1">
      <alignment horizontal="center" vertical="center"/>
    </xf>
    <xf numFmtId="176" fontId="19" fillId="5" borderId="18" xfId="0" applyNumberFormat="1" applyFont="1" applyFill="1" applyBorder="1" applyAlignment="1">
      <alignment horizontal="center" vertical="center"/>
    </xf>
    <xf numFmtId="2" fontId="22" fillId="5" borderId="19" xfId="0" applyNumberFormat="1" applyFont="1" applyFill="1" applyBorder="1" applyAlignment="1">
      <alignment horizontal="center" vertical="center"/>
    </xf>
    <xf numFmtId="1" fontId="42" fillId="5" borderId="15" xfId="0" applyNumberFormat="1" applyFont="1" applyFill="1" applyBorder="1">
      <alignment vertical="center"/>
    </xf>
    <xf numFmtId="2" fontId="22" fillId="5" borderId="15" xfId="0" applyNumberFormat="1" applyFont="1" applyFill="1" applyBorder="1" applyAlignment="1">
      <alignment horizontal="center" vertical="center"/>
    </xf>
    <xf numFmtId="1" fontId="22" fillId="5" borderId="15" xfId="0" applyNumberFormat="1" applyFont="1" applyFill="1" applyBorder="1" applyAlignment="1">
      <alignment horizontal="center" vertical="center"/>
    </xf>
    <xf numFmtId="2" fontId="22" fillId="5" borderId="20" xfId="0" applyNumberFormat="1" applyFont="1" applyFill="1" applyBorder="1" applyAlignment="1">
      <alignment horizontal="center" vertical="center"/>
    </xf>
    <xf numFmtId="0" fontId="19" fillId="5" borderId="20" xfId="0" applyFont="1" applyFill="1" applyBorder="1" applyAlignment="1">
      <alignment horizontal="center" vertical="center"/>
    </xf>
    <xf numFmtId="176" fontId="19" fillId="5" borderId="21" xfId="0" applyNumberFormat="1" applyFont="1" applyFill="1" applyBorder="1" applyAlignment="1">
      <alignment horizontal="center" vertical="center"/>
    </xf>
    <xf numFmtId="2" fontId="22" fillId="5" borderId="22" xfId="0" applyNumberFormat="1" applyFont="1" applyFill="1" applyBorder="1">
      <alignment vertical="center"/>
    </xf>
    <xf numFmtId="0" fontId="19" fillId="5" borderId="22" xfId="0" applyFont="1" applyFill="1" applyBorder="1" applyAlignment="1">
      <alignment horizontal="center" vertical="center"/>
    </xf>
    <xf numFmtId="0" fontId="22" fillId="5" borderId="20" xfId="0" applyFont="1" applyFill="1" applyBorder="1" applyAlignment="1">
      <alignment horizontal="center" vertical="center"/>
    </xf>
    <xf numFmtId="1" fontId="22" fillId="5" borderId="23" xfId="0" applyNumberFormat="1" applyFont="1" applyFill="1" applyBorder="1" applyAlignment="1">
      <alignment horizontal="center" vertical="center"/>
    </xf>
    <xf numFmtId="1" fontId="22" fillId="5" borderId="21" xfId="0" applyNumberFormat="1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Load!$C$24:$C$46</c:f>
              <c:numCache>
                <c:formatCode>General</c:formatCode>
                <c:ptCount val="23"/>
                <c:pt idx="0">
                  <c:v>13.172377499999985</c:v>
                </c:pt>
                <c:pt idx="1">
                  <c:v>18.200002499999986</c:v>
                </c:pt>
                <c:pt idx="2">
                  <c:v>23.227627499999986</c:v>
                </c:pt>
                <c:pt idx="3">
                  <c:v>28.255252499999983</c:v>
                </c:pt>
                <c:pt idx="4">
                  <c:v>33.282877499999984</c:v>
                </c:pt>
                <c:pt idx="5">
                  <c:v>38.310502499999984</c:v>
                </c:pt>
                <c:pt idx="6">
                  <c:v>43.338127499999985</c:v>
                </c:pt>
                <c:pt idx="7">
                  <c:v>48.365752499999985</c:v>
                </c:pt>
                <c:pt idx="8">
                  <c:v>53.393377499999986</c:v>
                </c:pt>
                <c:pt idx="9">
                  <c:v>58.421002499999979</c:v>
                </c:pt>
                <c:pt idx="10">
                  <c:v>63.448627499999979</c:v>
                </c:pt>
                <c:pt idx="11">
                  <c:v>68.476252499999987</c:v>
                </c:pt>
                <c:pt idx="12">
                  <c:v>73.503877499999987</c:v>
                </c:pt>
                <c:pt idx="13">
                  <c:v>75.615479999999977</c:v>
                </c:pt>
                <c:pt idx="14" formatCode="0.00">
                  <c:v>73.106551893415485</c:v>
                </c:pt>
                <c:pt idx="15" formatCode="0.00">
                  <c:v>68.974739970787439</c:v>
                </c:pt>
                <c:pt idx="16" formatCode="0.00">
                  <c:v>65.076448427958738</c:v>
                </c:pt>
                <c:pt idx="17" formatCode="0.00">
                  <c:v>61.398479237332111</c:v>
                </c:pt>
                <c:pt idx="18" formatCode="0.00">
                  <c:v>57.928380293069246</c:v>
                </c:pt>
                <c:pt idx="19" formatCode="0.00">
                  <c:v>54.654403253331537</c:v>
                </c:pt>
                <c:pt idx="20" formatCode="0.00">
                  <c:v>51.565463765179103</c:v>
                </c:pt>
                <c:pt idx="21" formatCode="0.00">
                  <c:v>48.651103937465749</c:v>
                </c:pt>
                <c:pt idx="22" formatCode="0.00">
                  <c:v>45.901456934678535</c:v>
                </c:pt>
              </c:numCache>
            </c:numRef>
          </c:xVal>
          <c:yVal>
            <c:numRef>
              <c:f>Load!$B$24:$B$46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EE-48FB-B452-405C61D54145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Load!$E$24:$E$46</c:f>
              <c:numCache>
                <c:formatCode>General</c:formatCode>
                <c:ptCount val="23"/>
                <c:pt idx="0">
                  <c:v>13.172377499999985</c:v>
                </c:pt>
                <c:pt idx="1">
                  <c:v>18.200002499999986</c:v>
                </c:pt>
                <c:pt idx="2">
                  <c:v>23.227627499999986</c:v>
                </c:pt>
                <c:pt idx="3">
                  <c:v>28.255252499999983</c:v>
                </c:pt>
                <c:pt idx="4">
                  <c:v>33.282877499999984</c:v>
                </c:pt>
                <c:pt idx="5">
                  <c:v>38.310502499999984</c:v>
                </c:pt>
                <c:pt idx="6">
                  <c:v>43.338127499999985</c:v>
                </c:pt>
                <c:pt idx="7">
                  <c:v>48.365752499999985</c:v>
                </c:pt>
                <c:pt idx="8">
                  <c:v>53.393377499999986</c:v>
                </c:pt>
                <c:pt idx="9">
                  <c:v>58.421002499999979</c:v>
                </c:pt>
                <c:pt idx="10">
                  <c:v>63.448627499999979</c:v>
                </c:pt>
                <c:pt idx="11">
                  <c:v>68.476252499999987</c:v>
                </c:pt>
                <c:pt idx="12">
                  <c:v>73.503877499999987</c:v>
                </c:pt>
                <c:pt idx="13">
                  <c:v>75.615479999999977</c:v>
                </c:pt>
                <c:pt idx="14">
                  <c:v>76.022574393415482</c:v>
                </c:pt>
                <c:pt idx="15">
                  <c:v>76.918387470787437</c:v>
                </c:pt>
                <c:pt idx="16">
                  <c:v>78.047720927958736</c:v>
                </c:pt>
                <c:pt idx="17">
                  <c:v>79.39737673733211</c:v>
                </c:pt>
                <c:pt idx="18">
                  <c:v>80.954902793069238</c:v>
                </c:pt>
                <c:pt idx="19">
                  <c:v>82.708550753331536</c:v>
                </c:pt>
                <c:pt idx="20">
                  <c:v>84.647236265179103</c:v>
                </c:pt>
                <c:pt idx="21">
                  <c:v>86.760501437465749</c:v>
                </c:pt>
                <c:pt idx="22">
                  <c:v>89.038479434678521</c:v>
                </c:pt>
              </c:numCache>
            </c:numRef>
          </c:xVal>
          <c:yVal>
            <c:numRef>
              <c:f>Load!$B$24:$B$46</c:f>
              <c:numCache>
                <c:formatCode>0.000</c:formatCode>
                <c:ptCount val="23"/>
                <c:pt idx="0">
                  <c:v>10.5</c:v>
                </c:pt>
                <c:pt idx="1">
                  <c:v>10</c:v>
                </c:pt>
                <c:pt idx="2">
                  <c:v>9.5</c:v>
                </c:pt>
                <c:pt idx="3">
                  <c:v>9</c:v>
                </c:pt>
                <c:pt idx="4">
                  <c:v>8.5</c:v>
                </c:pt>
                <c:pt idx="5">
                  <c:v>8</c:v>
                </c:pt>
                <c:pt idx="6">
                  <c:v>7.5</c:v>
                </c:pt>
                <c:pt idx="7">
                  <c:v>7</c:v>
                </c:pt>
                <c:pt idx="8">
                  <c:v>6.5</c:v>
                </c:pt>
                <c:pt idx="9">
                  <c:v>6</c:v>
                </c:pt>
                <c:pt idx="10">
                  <c:v>5.5</c:v>
                </c:pt>
                <c:pt idx="11">
                  <c:v>5</c:v>
                </c:pt>
                <c:pt idx="12">
                  <c:v>4.5</c:v>
                </c:pt>
                <c:pt idx="13">
                  <c:v>4.29</c:v>
                </c:pt>
                <c:pt idx="14">
                  <c:v>4</c:v>
                </c:pt>
                <c:pt idx="15">
                  <c:v>3.5</c:v>
                </c:pt>
                <c:pt idx="16">
                  <c:v>3</c:v>
                </c:pt>
                <c:pt idx="17">
                  <c:v>2.5</c:v>
                </c:pt>
                <c:pt idx="18">
                  <c:v>2</c:v>
                </c:pt>
                <c:pt idx="19">
                  <c:v>1.5</c:v>
                </c:pt>
                <c:pt idx="20">
                  <c:v>1</c:v>
                </c:pt>
                <c:pt idx="21">
                  <c:v>0.5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EE-48FB-B452-405C61D541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514591"/>
        <c:axId val="1293665663"/>
      </c:scatterChart>
      <c:valAx>
        <c:axId val="115851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293665663"/>
        <c:crosses val="autoZero"/>
        <c:crossBetween val="midCat"/>
      </c:valAx>
      <c:valAx>
        <c:axId val="129366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5851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221769</xdr:colOff>
      <xdr:row>8</xdr:row>
      <xdr:rowOff>104053</xdr:rowOff>
    </xdr:from>
    <xdr:to>
      <xdr:col>3</xdr:col>
      <xdr:colOff>76989</xdr:colOff>
      <xdr:row>11</xdr:row>
      <xdr:rowOff>23626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69" y="1969639"/>
          <a:ext cx="1873206" cy="581725"/>
        </a:xfrm>
        <a:prstGeom prst="rect">
          <a:avLst/>
        </a:prstGeom>
      </xdr:spPr>
    </xdr:pic>
    <xdr:clientData/>
  </xdr:twoCellAnchor>
  <xdr:oneCellAnchor>
    <xdr:from>
      <xdr:col>0</xdr:col>
      <xdr:colOff>49924</xdr:colOff>
      <xdr:row>5</xdr:row>
      <xdr:rowOff>55180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6B2EB8DF-E837-92D1-C7EA-397107E29C67}"/>
                </a:ext>
              </a:extLst>
            </xdr:cNvPr>
            <xdr:cNvSpPr txBox="1"/>
          </xdr:nvSpPr>
          <xdr:spPr>
            <a:xfrm>
              <a:off x="49924" y="125861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0</xdr:col>
      <xdr:colOff>193471</xdr:colOff>
      <xdr:row>33</xdr:row>
      <xdr:rowOff>63477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9B3F0385-8A26-1A9C-5F37-8236613155F9}"/>
                </a:ext>
              </a:extLst>
            </xdr:cNvPr>
            <xdr:cNvSpPr txBox="1"/>
          </xdr:nvSpPr>
          <xdr:spPr>
            <a:xfrm>
              <a:off x="193471" y="7317131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5" name="직사각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</xdr:row>
          <xdr:rowOff>0</xdr:rowOff>
        </xdr:from>
        <xdr:to>
          <xdr:col>8</xdr:col>
          <xdr:colOff>0</xdr:colOff>
          <xdr:row>20</xdr:row>
          <xdr:rowOff>144780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20</xdr:row>
          <xdr:rowOff>0</xdr:rowOff>
        </xdr:from>
        <xdr:to>
          <xdr:col>10</xdr:col>
          <xdr:colOff>0</xdr:colOff>
          <xdr:row>21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20</xdr:row>
          <xdr:rowOff>0</xdr:rowOff>
        </xdr:from>
        <xdr:to>
          <xdr:col>11</xdr:col>
          <xdr:colOff>0</xdr:colOff>
          <xdr:row>21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20</xdr:row>
          <xdr:rowOff>0</xdr:rowOff>
        </xdr:from>
        <xdr:to>
          <xdr:col>12</xdr:col>
          <xdr:colOff>0</xdr:colOff>
          <xdr:row>21</xdr:row>
          <xdr:rowOff>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268014</xdr:colOff>
      <xdr:row>22</xdr:row>
      <xdr:rowOff>99848</xdr:rowOff>
    </xdr:from>
    <xdr:to>
      <xdr:col>11</xdr:col>
      <xdr:colOff>352097</xdr:colOff>
      <xdr:row>46</xdr:row>
      <xdr:rowOff>141888</xdr:rowOff>
    </xdr:to>
    <xdr:graphicFrame macro="">
      <xdr:nvGraphicFramePr>
        <xdr:cNvPr id="8" name="차트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204952</xdr:colOff>
      <xdr:row>11</xdr:row>
      <xdr:rowOff>0</xdr:rowOff>
    </xdr:from>
    <xdr:to>
      <xdr:col>9</xdr:col>
      <xdr:colOff>263568</xdr:colOff>
      <xdr:row>14</xdr:row>
      <xdr:rowOff>4604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1931" y="1676400"/>
          <a:ext cx="1572106" cy="4618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0" y="0"/>
          <a:ext cx="2022231" cy="76932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Front!E1">
      <xdr:nvSpPr>
        <xdr:cNvPr id="7" name="직사각형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22230" y="1"/>
          <a:ext cx="4044461" cy="46159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1826971" cy="87884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10" name="직사각형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22231" y="461597"/>
          <a:ext cx="4044461" cy="307730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34</xdr:row>
          <xdr:rowOff>15766</xdr:rowOff>
        </xdr:from>
        <xdr:to>
          <xdr:col>7</xdr:col>
          <xdr:colOff>502920</xdr:colOff>
          <xdr:row>35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34</xdr:row>
          <xdr:rowOff>15766</xdr:rowOff>
        </xdr:from>
        <xdr:to>
          <xdr:col>10</xdr:col>
          <xdr:colOff>0</xdr:colOff>
          <xdr:row>35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34</xdr:row>
          <xdr:rowOff>15766</xdr:rowOff>
        </xdr:from>
        <xdr:to>
          <xdr:col>11</xdr:col>
          <xdr:colOff>0</xdr:colOff>
          <xdr:row>35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34</xdr:row>
          <xdr:rowOff>15766</xdr:rowOff>
        </xdr:from>
        <xdr:to>
          <xdr:col>12</xdr:col>
          <xdr:colOff>0</xdr:colOff>
          <xdr:row>35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43961</xdr:colOff>
      <xdr:row>9</xdr:row>
      <xdr:rowOff>135504</xdr:rowOff>
    </xdr:from>
    <xdr:ext cx="17309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564401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𝑑</m:t>
                        </m:r>
                      </m:sub>
                    </m:sSub>
                    <m:r>
                      <a:rPr lang="ko-KR" altLang="en-US" sz="1100" i="0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ko-KR" altLang="en-US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𝜌</m:t>
                        </m:r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sSub>
                          <m:sSubPr>
                            <m:ctrlPr>
                              <a:rPr lang="ko-KR" altLang="en-US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ko-KR" altLang="en-US" sz="1100" i="1">
                                <a:latin typeface="Cambria Math" panose="02040503050406030204" pitchFamily="18" charset="0"/>
                              </a:rPr>
                              <m:t>𝑔</m:t>
                            </m:r>
                          </m:e>
                          <m:sub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ko-KR" altLang="en-US" sz="1100" i="0">
                            <a:latin typeface="Cambria Math" panose="02040503050406030204" pitchFamily="18" charset="0"/>
                          </a:rPr>
                          <m:t>⋅</m:t>
                        </m:r>
                        <m:r>
                          <a:rPr lang="ko-KR" altLang="en-US" sz="1100" i="1">
                            <a:latin typeface="Cambria Math" panose="02040503050406030204" pitchFamily="18" charset="0"/>
                          </a:rPr>
                          <m:t>h</m:t>
                        </m:r>
                        <m:func>
                          <m:funcPr>
                            <m:ctrlPr>
                              <a:rPr lang="ko-KR" altLang="en-US" sz="1100" i="1">
                                <a:latin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fName>
                          <m:e>
                            <m:r>
                              <a:rPr lang="ko-KR" altLang="en-US" sz="1100" i="0">
                                <a:latin typeface="Cambria Math" panose="02040503050406030204" pitchFamily="18" charset="0"/>
                              </a:rPr>
                              <m:t>+25</m:t>
                            </m:r>
                          </m:e>
                        </m:func>
                      </m:e>
                    </m:d>
                    <m:r>
                      <a:rPr lang="ko-KR" altLang="en-US" sz="1100" i="1">
                        <a:latin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l-GR" altLang="ko-KR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γ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945092B2-C828-4064-B31B-213415702788}"/>
                </a:ext>
              </a:extLst>
            </xdr:cNvPr>
            <xdr:cNvSpPr txBox="1"/>
          </xdr:nvSpPr>
          <xdr:spPr>
            <a:xfrm>
              <a:off x="3564401" y="1354704"/>
              <a:ext cx="17309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100" i="0">
                  <a:latin typeface="Cambria Math" panose="02040503050406030204" pitchFamily="18" charset="0"/>
                </a:rPr>
                <a:t>𝑃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𝑑=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ko-KR" altLang="en-US" sz="1100" i="0">
                  <a:latin typeface="Cambria Math" panose="02040503050406030204" pitchFamily="18" charset="0"/>
                </a:rPr>
                <a:t>𝜌⋅𝑔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0⋅ℎ max⁡〖+25〗 )∙</a:t>
              </a:r>
              <a:r>
                <a:rPr lang="el-GR" altLang="ko-KR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γ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22</xdr:row>
          <xdr:rowOff>0</xdr:rowOff>
        </xdr:from>
        <xdr:to>
          <xdr:col>8</xdr:col>
          <xdr:colOff>0</xdr:colOff>
          <xdr:row>22</xdr:row>
          <xdr:rowOff>144780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22</xdr:row>
          <xdr:rowOff>0</xdr:rowOff>
        </xdr:from>
        <xdr:to>
          <xdr:col>10</xdr:col>
          <xdr:colOff>0</xdr:colOff>
          <xdr:row>23</xdr:row>
          <xdr:rowOff>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22</xdr:row>
          <xdr:rowOff>0</xdr:rowOff>
        </xdr:from>
        <xdr:to>
          <xdr:col>11</xdr:col>
          <xdr:colOff>0</xdr:colOff>
          <xdr:row>23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oneCellAnchor>
    <xdr:from>
      <xdr:col>7</xdr:col>
      <xdr:colOff>95250</xdr:colOff>
      <xdr:row>12</xdr:row>
      <xdr:rowOff>29308</xdr:rowOff>
    </xdr:from>
    <xdr:ext cx="1872721" cy="3014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3615690" y="1728568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𝑧</m:t>
                      </m:r>
                    </m:e>
                    <m:sub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  <m:r>
                    <a:rPr lang="ko-KR" altLang="en-US" sz="1100" i="0"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ko-KR" altLang="en-US" sz="1100" i="1">
                          <a:solidFill>
                            <a:srgbClr val="836967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sSup>
                        <m:sSup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pPr>
                        <m:e>
                          <m:r>
                            <m:rPr>
                              <m:sty m:val="p"/>
                            </m:rPr>
                            <a:rPr lang="en-US" altLang="ko-KR" sz="1100" b="0" i="0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  <m:t>l</m:t>
                          </m:r>
                        </m:e>
                        <m:sup>
                          <m:r>
                            <a:rPr lang="ko-KR" altLang="en-US" sz="1100" i="0">
                              <a:latin typeface="Cambria Math" panose="02040503050406030204" pitchFamily="18" charset="0"/>
                            </a:rPr>
                            <m:t>2</m:t>
                          </m:r>
                        </m:sup>
                      </m:sSup>
                      <m:r>
                        <a:rPr lang="ko-KR" altLang="en-US" sz="1100" i="1">
                          <a:latin typeface="Cambria Math" panose="02040503050406030204" pitchFamily="18" charset="0"/>
                        </a:rPr>
                        <m:t>∙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</a:rPr>
                        <m:t>𝑠</m:t>
                      </m:r>
                      <m:r>
                        <a:rPr lang="en-US" altLang="ko-KR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∙</m:t>
                      </m:r>
                      <m:sSub>
                        <m:sSubPr>
                          <m:ctrlP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𝑝</m:t>
                          </m:r>
                        </m:e>
                        <m:sub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𝑑</m:t>
                          </m:r>
                        </m:sub>
                      </m:sSub>
                    </m:num>
                    <m:den>
                      <m:func>
                        <m:funcPr>
                          <m:ctrlPr>
                            <a:rPr lang="ko-KR" altLang="en-US" sz="1100" i="1"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ko-KR" altLang="en-US" sz="1100" i="0">
                              <a:latin typeface="Cambria Math" panose="02040503050406030204" pitchFamily="18" charset="0"/>
                            </a:rPr>
                            <m:t>k</m:t>
                          </m:r>
                          <m:r>
                            <m:rPr>
                              <m:sty m:val="p"/>
                            </m:rPr>
                            <a:rPr lang="en-US" altLang="ko-KR" sz="1100" b="0" i="0">
                              <a:latin typeface="Cambria Math" panose="02040503050406030204" pitchFamily="18" charset="0"/>
                            </a:rPr>
                            <m:t>m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∙</m:t>
                          </m:r>
                        </m:fName>
                        <m:e>
                          <m:sSup>
                            <m:sSupPr>
                              <m:ctrlPr>
                                <a:rPr lang="en-US" altLang="ko-KR" sz="1100" i="1"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sSub>
                                <m:sSubPr>
                                  <m:ctrlP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</m:ctrlPr>
                                </m:sSubPr>
                                <m:e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𝜎</m:t>
                                  </m:r>
                                </m:e>
                                <m:sub>
                                  <m:r>
                                    <a:rPr lang="ko-KR" altLang="en-US" sz="110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𝑃</m:t>
                                  </m:r>
                                  <m:r>
                                    <a:rPr lang="en-US" altLang="ko-KR" sz="1100" b="0" i="1">
                                      <a:solidFill>
                                        <a:schemeClr val="tx1"/>
                                      </a:solidFill>
                                      <a:effectLst/>
                                      <a:latin typeface="Cambria Math" panose="02040503050406030204" pitchFamily="18" charset="0"/>
                                      <a:ea typeface="+mn-ea"/>
                                      <a:cs typeface="+mn-cs"/>
                                    </a:rPr>
                                    <m:t>𝑑</m:t>
                                  </m:r>
                                </m:sub>
                              </m:sSub>
                            </m:e>
                            <m:sup>
                              <m:r>
                                <a:rPr lang="en-US" altLang="ko-KR" sz="1100" b="0" i="1"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func>
                      <m:r>
                        <a:rPr lang="ko-KR" altLang="en-US" sz="1100" i="0">
                          <a:latin typeface="Cambria Math" panose="02040503050406030204" pitchFamily="18" charset="0"/>
                        </a:rPr>
                        <m:t>⋅</m:t>
                      </m:r>
                      <m:sSub>
                        <m:sSubPr>
                          <m:ctrlPr>
                            <a:rPr lang="ko-KR" altLang="en-US" sz="1100" i="1">
                              <a:solidFill>
                                <a:srgbClr val="836967"/>
                              </a:solidFill>
                              <a:latin typeface="Cambria Math" panose="02040503050406030204" pitchFamily="18" charset="0"/>
                            </a:rPr>
                          </m:ctrlPr>
                        </m:sSubPr>
                        <m:e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𝑘</m:t>
                          </m:r>
                        </m:e>
                        <m:sub>
                          <m:r>
                            <a:rPr lang="ko-KR" altLang="en-US" sz="1100" i="1">
                              <a:latin typeface="Cambria Math" panose="02040503050406030204" pitchFamily="18" charset="0"/>
                            </a:rPr>
                            <m:t>𝑝</m:t>
                          </m:r>
                          <m:r>
                            <a:rPr lang="en-US" altLang="ko-KR" sz="1100" b="0" i="1">
                              <a:latin typeface="Cambria Math" panose="02040503050406030204" pitchFamily="18" charset="0"/>
                            </a:rPr>
                            <m:t>𝑠</m:t>
                          </m:r>
                        </m:sub>
                      </m:sSub>
                    </m:den>
                  </m:f>
                  <m:sSup>
                    <m:sSupPr>
                      <m:ctrlPr>
                        <a:rPr lang="en-US" altLang="ko-KR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US" altLang="ko-KR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</m:t>
                      </m:r>
                    </m:sup>
                  </m:sSup>
                </m:oMath>
              </a14:m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E07A333-F705-4004-B559-A4A0C95DD5D0}"/>
                </a:ext>
              </a:extLst>
            </xdr:cNvPr>
            <xdr:cNvSpPr txBox="1"/>
          </xdr:nvSpPr>
          <xdr:spPr>
            <a:xfrm>
              <a:off x="3615690" y="1728568"/>
              <a:ext cx="1872721" cy="3014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ko-KR" altLang="en-US" sz="1100" i="0">
                  <a:latin typeface="Cambria Math" panose="02040503050406030204" pitchFamily="18" charset="0"/>
                </a:rPr>
                <a:t>𝑧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𝑠=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l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ko-KR" altLang="en-US" sz="1100" i="0">
                  <a:latin typeface="Cambria Math" panose="02040503050406030204" pitchFamily="18" charset="0"/>
                </a:rPr>
                <a:t>2∙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∙𝑝_𝑑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)/(〖</a:t>
              </a:r>
              <a:r>
                <a:rPr lang="ko-KR" altLang="en-US" sz="1100" i="0">
                  <a:latin typeface="Cambria Math" panose="02040503050406030204" pitchFamily="18" charset="0"/>
                </a:rPr>
                <a:t>k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m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ko-KR" alt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〗⁡〖</a:t>
              </a:r>
              <a:r>
                <a:rPr lang="en-US" altLang="ko-K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ko-KR" alt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𝜎_𝑃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𝑑〗^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2 </a:t>
              </a:r>
              <a:r>
                <a:rPr lang="ko-KR" altLang="en-US" sz="1100" b="0" i="0">
                  <a:latin typeface="Cambria Math" panose="02040503050406030204" pitchFamily="18" charset="0"/>
                </a:rPr>
                <a:t>〗</a:t>
              </a:r>
              <a:r>
                <a:rPr lang="ko-KR" altLang="en-US" sz="1100" i="0">
                  <a:latin typeface="Cambria Math" panose="02040503050406030204" pitchFamily="18" charset="0"/>
                </a:rPr>
                <a:t>⋅𝑘</a:t>
              </a:r>
              <a:r>
                <a:rPr lang="ko-KR" altLang="en-US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100" i="0">
                  <a:latin typeface="Cambria Math" panose="02040503050406030204" pitchFamily="18" charset="0"/>
                </a:rPr>
                <a:t>𝑝</a:t>
              </a:r>
              <a:r>
                <a:rPr lang="en-US" altLang="ko-KR" sz="1100" b="0" i="0">
                  <a:latin typeface="Cambria Math" panose="02040503050406030204" pitchFamily="18" charset="0"/>
                </a:rPr>
                <a:t>𝑠 </a:t>
              </a:r>
              <a:r>
                <a:rPr lang="ko-KR" altLang="en-US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10^6</a:t>
              </a:r>
              <a:r>
                <a:rPr lang="en-US" altLang="ko-KR" sz="1100"/>
                <a:t>(mm</a:t>
              </a:r>
              <a:r>
                <a:rPr lang="en-US" altLang="ko-KR" sz="1100" baseline="30000"/>
                <a:t>3</a:t>
              </a:r>
              <a:r>
                <a:rPr lang="en-US" altLang="ko-KR" sz="1100"/>
                <a:t>)</a:t>
              </a:r>
              <a:endParaRPr lang="ko-KR" altLang="en-US" sz="1100"/>
            </a:p>
          </xdr:txBody>
        </xdr:sp>
      </mc:Fallback>
    </mc:AlternateContent>
    <xdr:clientData/>
  </xdr:one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0" y="0"/>
          <a:ext cx="2011680" cy="76200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505557</xdr:colOff>
      <xdr:row>0</xdr:row>
      <xdr:rowOff>1</xdr:rowOff>
    </xdr:from>
    <xdr:to>
      <xdr:col>11</xdr:col>
      <xdr:colOff>505556</xdr:colOff>
      <xdr:row>3</xdr:row>
      <xdr:rowOff>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014317" y="1"/>
          <a:ext cx="4023359" cy="4571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A8AE6B0B-1EDC-45A0-B9BB-E8710940D600}" type="TxLink">
            <a:rPr lang="en-US" altLang="en-US" sz="2000" b="1" i="0" u="none" strike="noStrike">
              <a:solidFill>
                <a:srgbClr val="000000"/>
              </a:solidFill>
              <a:latin typeface="맑은 고딕"/>
              <a:ea typeface="맑은 고딕"/>
            </a:rPr>
            <a:pPr algn="ctr"/>
            <a:t>Offshore Structure</a:t>
          </a:fld>
          <a:endParaRPr lang="ko-KR" altLang="en-US" sz="4400" b="1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310298</xdr:colOff>
      <xdr:row>5</xdr:row>
      <xdr:rowOff>109515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9058" cy="871515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3</xdr:row>
      <xdr:rowOff>1</xdr:rowOff>
    </xdr:from>
    <xdr:to>
      <xdr:col>12</xdr:col>
      <xdr:colOff>0</xdr:colOff>
      <xdr:row>5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2011680" y="457201"/>
          <a:ext cx="4023360" cy="304799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altLang="en-US" sz="1100" b="1" i="0" u="none" strike="noStrike">
            <a:solidFill>
              <a:srgbClr val="000000"/>
            </a:solidFill>
            <a:latin typeface="맑은 고딕"/>
            <a:ea typeface="맑은 고딕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24</xdr:row>
          <xdr:rowOff>0</xdr:rowOff>
        </xdr:from>
        <xdr:to>
          <xdr:col>8</xdr:col>
          <xdr:colOff>0</xdr:colOff>
          <xdr:row>24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24</xdr:row>
          <xdr:rowOff>0</xdr:rowOff>
        </xdr:from>
        <xdr:to>
          <xdr:col>10</xdr:col>
          <xdr:colOff>0</xdr:colOff>
          <xdr:row>25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11</xdr:col>
          <xdr:colOff>0</xdr:colOff>
          <xdr:row>25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502920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6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8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02B9-6026-4657-8B68-C8E035544185}">
  <sheetPr codeName="Sheet1"/>
  <dimension ref="A1:H26"/>
  <sheetViews>
    <sheetView workbookViewId="0">
      <selection activeCell="E7" sqref="E7"/>
    </sheetView>
  </sheetViews>
  <sheetFormatPr defaultRowHeight="17.399999999999999"/>
  <cols>
    <col min="6" max="6" width="8.8984375" customWidth="1"/>
  </cols>
  <sheetData>
    <row r="1" spans="1:8">
      <c r="A1" t="s">
        <v>1</v>
      </c>
      <c r="B1" s="3" t="s">
        <v>1</v>
      </c>
      <c r="C1" s="3" t="str">
        <f t="shared" ref="C1:C23" si="0">LOWER(B1)</f>
        <v>a</v>
      </c>
      <c r="D1" t="s">
        <v>46</v>
      </c>
      <c r="E1" t="s">
        <v>103</v>
      </c>
    </row>
    <row r="2" spans="1:8">
      <c r="A2" t="s">
        <v>2</v>
      </c>
      <c r="B2" s="3" t="s">
        <v>2</v>
      </c>
      <c r="C2" s="3" t="str">
        <f t="shared" si="0"/>
        <v>b</v>
      </c>
      <c r="D2" t="s">
        <v>47</v>
      </c>
    </row>
    <row r="3" spans="1:8">
      <c r="A3" t="s">
        <v>3</v>
      </c>
      <c r="B3" s="3" t="s">
        <v>3</v>
      </c>
      <c r="C3" s="3" t="str">
        <f t="shared" si="0"/>
        <v>c</v>
      </c>
      <c r="D3" t="s">
        <v>48</v>
      </c>
      <c r="E3" t="s">
        <v>108</v>
      </c>
      <c r="F3">
        <v>235</v>
      </c>
      <c r="G3">
        <v>1</v>
      </c>
      <c r="H3" s="29">
        <f>1/G3</f>
        <v>1</v>
      </c>
    </row>
    <row r="4" spans="1:8">
      <c r="A4" t="s">
        <v>4</v>
      </c>
      <c r="B4" s="3" t="s">
        <v>4</v>
      </c>
      <c r="C4" s="3" t="str">
        <f t="shared" si="0"/>
        <v>d</v>
      </c>
      <c r="D4" t="s">
        <v>65</v>
      </c>
      <c r="E4" t="s">
        <v>109</v>
      </c>
      <c r="F4">
        <v>265</v>
      </c>
      <c r="G4">
        <v>1.08</v>
      </c>
      <c r="H4" s="29">
        <f>1/G4</f>
        <v>0.92592592592592582</v>
      </c>
    </row>
    <row r="5" spans="1:8">
      <c r="A5" t="s">
        <v>5</v>
      </c>
      <c r="B5" s="3" t="s">
        <v>5</v>
      </c>
      <c r="C5" s="3" t="str">
        <f t="shared" si="0"/>
        <v>e</v>
      </c>
      <c r="D5" t="s">
        <v>49</v>
      </c>
      <c r="E5" t="s">
        <v>110</v>
      </c>
      <c r="F5">
        <v>315</v>
      </c>
      <c r="G5">
        <v>1.28</v>
      </c>
      <c r="H5" s="29">
        <f>1/G5</f>
        <v>0.78125</v>
      </c>
    </row>
    <row r="6" spans="1:8">
      <c r="A6" t="s">
        <v>6</v>
      </c>
      <c r="B6" s="3" t="s">
        <v>6</v>
      </c>
      <c r="C6" s="3" t="str">
        <f t="shared" si="0"/>
        <v>f</v>
      </c>
      <c r="D6" t="s">
        <v>50</v>
      </c>
      <c r="E6" t="s">
        <v>112</v>
      </c>
      <c r="F6">
        <v>355</v>
      </c>
      <c r="G6">
        <v>1.39</v>
      </c>
      <c r="H6" s="29">
        <f>1/G6</f>
        <v>0.71942446043165476</v>
      </c>
    </row>
    <row r="7" spans="1:8">
      <c r="A7" t="s">
        <v>7</v>
      </c>
      <c r="B7" s="3" t="s">
        <v>7</v>
      </c>
      <c r="C7" s="3" t="str">
        <f t="shared" si="0"/>
        <v>g</v>
      </c>
      <c r="D7" t="s">
        <v>37</v>
      </c>
      <c r="E7" t="s">
        <v>113</v>
      </c>
      <c r="F7">
        <v>390</v>
      </c>
      <c r="G7">
        <v>1.47</v>
      </c>
      <c r="H7" s="29">
        <f>1/G7</f>
        <v>0.68027210884353739</v>
      </c>
    </row>
    <row r="8" spans="1:8">
      <c r="A8" t="s">
        <v>8</v>
      </c>
      <c r="B8" s="3" t="s">
        <v>8</v>
      </c>
      <c r="C8" s="3" t="str">
        <f t="shared" si="0"/>
        <v>h</v>
      </c>
      <c r="D8" t="s">
        <v>31</v>
      </c>
    </row>
    <row r="9" spans="1:8">
      <c r="A9" t="s">
        <v>9</v>
      </c>
      <c r="B9" s="3" t="s">
        <v>9</v>
      </c>
      <c r="C9" s="3" t="str">
        <f t="shared" si="0"/>
        <v>i</v>
      </c>
      <c r="D9" t="s">
        <v>51</v>
      </c>
    </row>
    <row r="10" spans="1:8">
      <c r="A10" t="s">
        <v>10</v>
      </c>
      <c r="B10" s="3" t="s">
        <v>10</v>
      </c>
      <c r="C10" s="3" t="str">
        <f t="shared" si="0"/>
        <v>j</v>
      </c>
      <c r="D10" t="s">
        <v>52</v>
      </c>
    </row>
    <row r="11" spans="1:8">
      <c r="A11" t="s">
        <v>11</v>
      </c>
      <c r="B11" s="3" t="s">
        <v>11</v>
      </c>
      <c r="C11" s="3" t="str">
        <f t="shared" si="0"/>
        <v>k</v>
      </c>
      <c r="D11" t="s">
        <v>53</v>
      </c>
    </row>
    <row r="12" spans="1:8">
      <c r="A12" t="s">
        <v>12</v>
      </c>
      <c r="B12" s="3" t="s">
        <v>12</v>
      </c>
      <c r="C12" s="3" t="str">
        <f t="shared" si="0"/>
        <v>l</v>
      </c>
      <c r="D12" t="s">
        <v>54</v>
      </c>
    </row>
    <row r="13" spans="1:8">
      <c r="A13" t="s">
        <v>13</v>
      </c>
      <c r="B13" s="3" t="s">
        <v>13</v>
      </c>
      <c r="C13" s="3" t="str">
        <f t="shared" si="0"/>
        <v>m</v>
      </c>
      <c r="D13" t="s">
        <v>21</v>
      </c>
    </row>
    <row r="14" spans="1:8">
      <c r="A14" t="s">
        <v>15</v>
      </c>
      <c r="B14" s="3" t="s">
        <v>15</v>
      </c>
      <c r="C14" s="3" t="str">
        <f t="shared" si="0"/>
        <v>n</v>
      </c>
      <c r="D14" t="s">
        <v>55</v>
      </c>
    </row>
    <row r="15" spans="1:8">
      <c r="A15" t="s">
        <v>17</v>
      </c>
      <c r="B15" s="3" t="s">
        <v>17</v>
      </c>
      <c r="C15" s="3" t="str">
        <f t="shared" si="0"/>
        <v>o</v>
      </c>
      <c r="D15" t="s">
        <v>56</v>
      </c>
    </row>
    <row r="16" spans="1:8">
      <c r="A16" t="s">
        <v>18</v>
      </c>
      <c r="B16" s="3" t="s">
        <v>18</v>
      </c>
      <c r="C16" s="3" t="str">
        <f t="shared" si="0"/>
        <v>p</v>
      </c>
      <c r="D16" t="s">
        <v>57</v>
      </c>
    </row>
    <row r="17" spans="1:4">
      <c r="A17" t="s">
        <v>20</v>
      </c>
      <c r="B17" s="3" t="s">
        <v>20</v>
      </c>
      <c r="C17" s="3" t="str">
        <f t="shared" si="0"/>
        <v>q</v>
      </c>
      <c r="D17" t="s">
        <v>58</v>
      </c>
    </row>
    <row r="18" spans="1:4">
      <c r="A18" t="s">
        <v>22</v>
      </c>
      <c r="B18" s="3" t="s">
        <v>22</v>
      </c>
      <c r="C18" s="3" t="str">
        <f t="shared" si="0"/>
        <v>r</v>
      </c>
      <c r="D18" t="s">
        <v>34</v>
      </c>
    </row>
    <row r="19" spans="1:4">
      <c r="A19" t="s">
        <v>23</v>
      </c>
      <c r="B19" s="3" t="s">
        <v>23</v>
      </c>
      <c r="C19" s="3" t="str">
        <f t="shared" si="0"/>
        <v>s</v>
      </c>
      <c r="D19" t="s">
        <v>41</v>
      </c>
    </row>
    <row r="20" spans="1:4">
      <c r="A20" t="s">
        <v>24</v>
      </c>
      <c r="B20" s="3" t="s">
        <v>24</v>
      </c>
      <c r="C20" s="3" t="str">
        <f t="shared" si="0"/>
        <v>t</v>
      </c>
      <c r="D20" t="s">
        <v>44</v>
      </c>
    </row>
    <row r="21" spans="1:4">
      <c r="A21" t="s">
        <v>25</v>
      </c>
      <c r="B21" s="3" t="s">
        <v>25</v>
      </c>
      <c r="C21" s="3" t="str">
        <f t="shared" si="0"/>
        <v>u</v>
      </c>
      <c r="D21" t="s">
        <v>59</v>
      </c>
    </row>
    <row r="22" spans="1:4">
      <c r="A22" t="s">
        <v>26</v>
      </c>
      <c r="B22" s="3" t="s">
        <v>26</v>
      </c>
      <c r="C22" s="3" t="str">
        <f t="shared" si="0"/>
        <v>v</v>
      </c>
      <c r="D22" t="s">
        <v>60</v>
      </c>
    </row>
    <row r="23" spans="1:4">
      <c r="A23" t="s">
        <v>27</v>
      </c>
      <c r="B23" s="3" t="s">
        <v>27</v>
      </c>
      <c r="C23" s="3" t="str">
        <f t="shared" si="0"/>
        <v>w</v>
      </c>
      <c r="D23" t="s">
        <v>61</v>
      </c>
    </row>
    <row r="24" spans="1:4">
      <c r="A24" t="s">
        <v>28</v>
      </c>
      <c r="B24" s="3" t="s">
        <v>28</v>
      </c>
      <c r="C24" s="3" t="s">
        <v>62</v>
      </c>
      <c r="D24" t="s">
        <v>62</v>
      </c>
    </row>
    <row r="25" spans="1:4">
      <c r="A25" t="s">
        <v>29</v>
      </c>
      <c r="B25" s="3" t="s">
        <v>29</v>
      </c>
      <c r="C25" s="3" t="s">
        <v>63</v>
      </c>
      <c r="D25" t="s">
        <v>63</v>
      </c>
    </row>
    <row r="26" spans="1:4">
      <c r="A26" t="s">
        <v>30</v>
      </c>
      <c r="B26" s="3" t="s">
        <v>30</v>
      </c>
      <c r="C26" s="3" t="s">
        <v>64</v>
      </c>
      <c r="D26" t="s">
        <v>64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F069A-7467-4C22-A8F5-7B5317E9A7BE}">
  <sheetPr codeName="Sheet2"/>
  <dimension ref="A2:R78"/>
  <sheetViews>
    <sheetView topLeftCell="A4" zoomScale="130" zoomScaleNormal="130" workbookViewId="0">
      <selection activeCell="G10" sqref="G10"/>
    </sheetView>
  </sheetViews>
  <sheetFormatPr defaultRowHeight="17.399999999999999"/>
  <cols>
    <col min="7" max="10" width="8.69921875" customWidth="1"/>
  </cols>
  <sheetData>
    <row r="2" spans="1:14" ht="25.2">
      <c r="A2" s="9" t="s">
        <v>0</v>
      </c>
    </row>
    <row r="4" spans="1:14">
      <c r="A4" t="s">
        <v>33</v>
      </c>
      <c r="D4" s="10" t="s">
        <v>34</v>
      </c>
      <c r="E4" s="5" t="s">
        <v>35</v>
      </c>
      <c r="F4" s="5" t="s">
        <v>36</v>
      </c>
      <c r="G4" s="10" t="s">
        <v>77</v>
      </c>
      <c r="H4" s="5" t="s">
        <v>32</v>
      </c>
    </row>
    <row r="5" spans="1:14">
      <c r="D5" s="5">
        <v>1.0249999999999999</v>
      </c>
      <c r="E5" s="5">
        <v>9.81</v>
      </c>
      <c r="F5" s="5">
        <v>10.5</v>
      </c>
      <c r="G5" s="5">
        <v>1.3</v>
      </c>
      <c r="H5" s="6">
        <f>(D5*E5*F5+25)*G5</f>
        <v>169.75416250000001</v>
      </c>
    </row>
    <row r="8" spans="1:14">
      <c r="A8" s="11" t="s">
        <v>38</v>
      </c>
    </row>
    <row r="10" spans="1:14">
      <c r="H10">
        <f>0.9-0.5*191/355</f>
        <v>0.63098591549295779</v>
      </c>
      <c r="I10">
        <v>0.63</v>
      </c>
    </row>
    <row r="11" spans="1:14">
      <c r="K11">
        <f>0.63*355</f>
        <v>223.65</v>
      </c>
    </row>
    <row r="13" spans="1:14">
      <c r="A13" s="8" t="s">
        <v>39</v>
      </c>
      <c r="C13" t="s">
        <v>14</v>
      </c>
      <c r="D13" t="s">
        <v>16</v>
      </c>
    </row>
    <row r="15" spans="1:14">
      <c r="A15" s="5" t="s">
        <v>40</v>
      </c>
      <c r="B15" s="5" t="s">
        <v>78</v>
      </c>
      <c r="C15" s="5" t="s">
        <v>42</v>
      </c>
      <c r="D15" s="5" t="s">
        <v>79</v>
      </c>
      <c r="E15" s="10" t="s">
        <v>43</v>
      </c>
      <c r="F15" s="5" t="s">
        <v>80</v>
      </c>
      <c r="G15" s="17" t="s">
        <v>84</v>
      </c>
      <c r="H15" s="17" t="s">
        <v>85</v>
      </c>
      <c r="I15" s="18" t="s">
        <v>87</v>
      </c>
      <c r="J15" s="17" t="s">
        <v>86</v>
      </c>
      <c r="K15" s="21" t="s">
        <v>81</v>
      </c>
      <c r="L15" s="5" t="s">
        <v>82</v>
      </c>
      <c r="M15" s="22" t="s">
        <v>83</v>
      </c>
      <c r="N15" s="5" t="s">
        <v>44</v>
      </c>
    </row>
    <row r="16" spans="1:14">
      <c r="A16" s="6">
        <v>1</v>
      </c>
      <c r="B16" s="5">
        <v>0.75</v>
      </c>
      <c r="C16" s="5">
        <v>1</v>
      </c>
      <c r="D16" s="5">
        <v>355</v>
      </c>
      <c r="E16" s="5">
        <v>1.1499999999999999</v>
      </c>
      <c r="F16" s="6">
        <f>D16/E16</f>
        <v>308.69565217391306</v>
      </c>
      <c r="G16" s="19"/>
      <c r="H16" s="19"/>
      <c r="I16" s="19"/>
      <c r="J16" s="20">
        <f>SQRT(G16^2+H16^2-G16*H16-3*I16^2)</f>
        <v>0</v>
      </c>
      <c r="K16" s="6">
        <f>MIN(1.3*(F16-J16),F16)</f>
        <v>308.69565217391306</v>
      </c>
      <c r="L16" s="5">
        <v>10.5</v>
      </c>
      <c r="M16" s="6">
        <f>(1.025*9.81*L16+25)*$G$5</f>
        <v>169.75416250000001</v>
      </c>
      <c r="N16" s="7">
        <f>15.8*A16*B16*SQRT(M16)/SQRT(K16*C16)</f>
        <v>8.7874589681016193</v>
      </c>
    </row>
    <row r="19" spans="1:14">
      <c r="A19" s="8" t="s">
        <v>45</v>
      </c>
      <c r="C19" t="s">
        <v>14</v>
      </c>
      <c r="D19" t="s">
        <v>19</v>
      </c>
    </row>
    <row r="21" spans="1:14">
      <c r="A21" s="5" t="s">
        <v>40</v>
      </c>
      <c r="B21" s="5" t="s">
        <v>78</v>
      </c>
      <c r="C21" s="5" t="s">
        <v>42</v>
      </c>
      <c r="D21" s="5" t="s">
        <v>79</v>
      </c>
      <c r="E21" s="10" t="s">
        <v>43</v>
      </c>
      <c r="F21" s="5" t="s">
        <v>80</v>
      </c>
      <c r="G21" s="17" t="s">
        <v>84</v>
      </c>
      <c r="H21" s="17" t="s">
        <v>85</v>
      </c>
      <c r="I21" s="18" t="s">
        <v>87</v>
      </c>
      <c r="J21" s="17" t="s">
        <v>86</v>
      </c>
      <c r="K21" s="21" t="s">
        <v>81</v>
      </c>
      <c r="L21" s="5" t="s">
        <v>82</v>
      </c>
      <c r="M21" s="22" t="s">
        <v>83</v>
      </c>
      <c r="N21" s="5" t="s">
        <v>44</v>
      </c>
    </row>
    <row r="22" spans="1:14">
      <c r="A22" s="6">
        <v>1</v>
      </c>
      <c r="B22" s="5">
        <v>0.75</v>
      </c>
      <c r="C22" s="5">
        <v>1</v>
      </c>
      <c r="D22" s="5">
        <v>355</v>
      </c>
      <c r="E22" s="5">
        <v>1.1499999999999999</v>
      </c>
      <c r="F22" s="6">
        <f>D22/E22</f>
        <v>308.69565217391306</v>
      </c>
      <c r="G22" s="19"/>
      <c r="H22" s="19"/>
      <c r="I22" s="19"/>
      <c r="J22" s="19"/>
      <c r="K22" s="6">
        <f>F22</f>
        <v>308.69565217391306</v>
      </c>
      <c r="L22" s="5">
        <v>0</v>
      </c>
      <c r="M22" s="6">
        <f>(rho*grav*L22 + 25)*G5</f>
        <v>32.5</v>
      </c>
      <c r="N22" s="6">
        <f>15.8*A22*B22*SQRT(M22)/SQRT(K22*C22)</f>
        <v>3.8449861032002204</v>
      </c>
    </row>
    <row r="24" spans="1:14">
      <c r="A24" s="8" t="s">
        <v>66</v>
      </c>
    </row>
    <row r="26" spans="1:14">
      <c r="A26" s="5" t="s">
        <v>40</v>
      </c>
      <c r="B26" s="5" t="s">
        <v>78</v>
      </c>
      <c r="C26" s="5" t="s">
        <v>42</v>
      </c>
      <c r="D26" s="5" t="s">
        <v>79</v>
      </c>
      <c r="E26" s="10" t="s">
        <v>43</v>
      </c>
      <c r="F26" s="5" t="s">
        <v>80</v>
      </c>
      <c r="G26" s="17" t="s">
        <v>84</v>
      </c>
      <c r="H26" s="17" t="s">
        <v>85</v>
      </c>
      <c r="I26" s="18" t="s">
        <v>87</v>
      </c>
      <c r="J26" s="17" t="s">
        <v>86</v>
      </c>
      <c r="K26" s="21" t="s">
        <v>81</v>
      </c>
      <c r="L26" s="5" t="s">
        <v>82</v>
      </c>
      <c r="M26" s="22" t="s">
        <v>83</v>
      </c>
      <c r="N26" s="5" t="s">
        <v>44</v>
      </c>
    </row>
    <row r="27" spans="1:14">
      <c r="A27" s="6">
        <v>1</v>
      </c>
      <c r="B27" s="5">
        <v>0.75</v>
      </c>
      <c r="C27" s="5">
        <v>1</v>
      </c>
      <c r="D27" s="5">
        <v>355</v>
      </c>
      <c r="E27" s="5">
        <v>1.1499999999999999</v>
      </c>
      <c r="F27" s="6">
        <f>D27/E27</f>
        <v>308.69565217391306</v>
      </c>
      <c r="G27" s="19"/>
      <c r="H27" s="19"/>
      <c r="I27" s="19"/>
      <c r="J27" s="19"/>
      <c r="K27" s="6">
        <f>F27</f>
        <v>308.69565217391306</v>
      </c>
      <c r="L27" s="7">
        <v>10.5</v>
      </c>
      <c r="M27" s="6">
        <f>(rho*grav*L27+25)*$G$5</f>
        <v>169.75416250000001</v>
      </c>
      <c r="N27" s="6">
        <f>15.8*A27*B27*SQRT(M27)/SQRT(K27*C27)</f>
        <v>8.7874589681016193</v>
      </c>
    </row>
    <row r="28" spans="1:14">
      <c r="A28" s="6">
        <v>1</v>
      </c>
      <c r="B28" s="5">
        <v>0.75</v>
      </c>
      <c r="C28" s="5">
        <v>1</v>
      </c>
      <c r="D28" s="5">
        <v>355</v>
      </c>
      <c r="E28" s="5">
        <v>1.1499999999999999</v>
      </c>
      <c r="F28" s="6">
        <f t="shared" ref="F28:F30" si="0">D28/E28</f>
        <v>308.69565217391306</v>
      </c>
      <c r="G28" s="19"/>
      <c r="H28" s="19"/>
      <c r="I28" s="19"/>
      <c r="J28" s="19"/>
      <c r="K28" s="6">
        <f>F28</f>
        <v>308.69565217391306</v>
      </c>
      <c r="L28" s="7">
        <f>L27-2.9</f>
        <v>7.6</v>
      </c>
      <c r="M28" s="6">
        <f>(rho*grav*L28+25)*$G$5</f>
        <v>131.84586999999999</v>
      </c>
      <c r="N28" s="6">
        <f>15.8*A28*B28*SQRT(M28)/SQRT(K28*C28)</f>
        <v>7.7443747294109384</v>
      </c>
    </row>
    <row r="29" spans="1:14">
      <c r="A29" s="6">
        <v>1</v>
      </c>
      <c r="B29" s="5">
        <v>0.75</v>
      </c>
      <c r="C29" s="5">
        <v>1</v>
      </c>
      <c r="D29" s="5">
        <v>355</v>
      </c>
      <c r="E29" s="5">
        <v>1.1499999999999999</v>
      </c>
      <c r="F29" s="6">
        <f t="shared" si="0"/>
        <v>308.69565217391306</v>
      </c>
      <c r="G29" s="19"/>
      <c r="H29" s="19"/>
      <c r="I29" s="19"/>
      <c r="J29" s="19"/>
      <c r="K29" s="6">
        <f>F29</f>
        <v>308.69565217391306</v>
      </c>
      <c r="L29" s="7">
        <f>L28-2.9</f>
        <v>4.6999999999999993</v>
      </c>
      <c r="M29" s="6">
        <f>(rho*grav*L29+25)*$G$5</f>
        <v>93.937577499999989</v>
      </c>
      <c r="N29" s="6">
        <f>15.8*A29*B29*SQRT(M29)/SQRT(K29*C29)</f>
        <v>6.5369140106787329</v>
      </c>
    </row>
    <row r="30" spans="1:14">
      <c r="A30" s="6">
        <v>1</v>
      </c>
      <c r="B30" s="5">
        <v>0.75</v>
      </c>
      <c r="C30" s="5">
        <v>1</v>
      </c>
      <c r="D30" s="5">
        <v>355</v>
      </c>
      <c r="E30" s="5">
        <v>1.1499999999999999</v>
      </c>
      <c r="F30" s="6">
        <f t="shared" si="0"/>
        <v>308.69565217391306</v>
      </c>
      <c r="G30" s="19"/>
      <c r="H30" s="19"/>
      <c r="I30" s="19"/>
      <c r="J30" s="19"/>
      <c r="K30" s="6">
        <f>F30</f>
        <v>308.69565217391306</v>
      </c>
      <c r="L30" s="7">
        <f>L29-2.9</f>
        <v>1.7999999999999994</v>
      </c>
      <c r="M30" s="6">
        <f>(rho*grav*L30+25)*$G$5</f>
        <v>56.029284999999987</v>
      </c>
      <c r="N30" s="6">
        <f>15.8*A30*B30*SQRT(M30)/SQRT(K30*C30)</f>
        <v>5.0484799312740778</v>
      </c>
    </row>
    <row r="33" spans="1:15">
      <c r="A33" s="14" t="s">
        <v>67</v>
      </c>
    </row>
    <row r="34" spans="1:15">
      <c r="E34" t="s">
        <v>68</v>
      </c>
      <c r="G34" t="s">
        <v>76</v>
      </c>
      <c r="H34" t="s">
        <v>69</v>
      </c>
    </row>
    <row r="36" spans="1:15">
      <c r="J36">
        <f>0.9-0.5*191/355</f>
        <v>0.63098591549295779</v>
      </c>
      <c r="K36">
        <f>J36*355</f>
        <v>224.00000000000003</v>
      </c>
    </row>
    <row r="38" spans="1:15">
      <c r="A38" s="8" t="s">
        <v>70</v>
      </c>
    </row>
    <row r="39" spans="1:15">
      <c r="A39" t="s">
        <v>92</v>
      </c>
      <c r="C39">
        <v>750</v>
      </c>
      <c r="D39">
        <v>12</v>
      </c>
      <c r="E39" s="1" t="s">
        <v>93</v>
      </c>
      <c r="F39" s="24">
        <v>667</v>
      </c>
      <c r="G39" s="2" t="s">
        <v>94</v>
      </c>
      <c r="H39" s="1" t="s">
        <v>101</v>
      </c>
      <c r="I39">
        <f>300*11</f>
        <v>3300</v>
      </c>
    </row>
    <row r="40" spans="1:15">
      <c r="A40" s="5" t="s">
        <v>88</v>
      </c>
      <c r="B40" s="5" t="s">
        <v>78</v>
      </c>
      <c r="C40" s="5" t="s">
        <v>89</v>
      </c>
      <c r="D40" s="22" t="s">
        <v>83</v>
      </c>
      <c r="E40" s="5" t="s">
        <v>71</v>
      </c>
      <c r="F40" s="5" t="s">
        <v>74</v>
      </c>
      <c r="G40" s="5" t="s">
        <v>79</v>
      </c>
      <c r="H40" s="10" t="s">
        <v>43</v>
      </c>
      <c r="I40" s="5" t="s">
        <v>80</v>
      </c>
      <c r="J40" s="15" t="s">
        <v>73</v>
      </c>
      <c r="K40" s="4" t="s">
        <v>72</v>
      </c>
      <c r="L40" s="4" t="s">
        <v>90</v>
      </c>
      <c r="M40" s="15" t="s">
        <v>99</v>
      </c>
      <c r="N40" s="4" t="s">
        <v>98</v>
      </c>
      <c r="O40" s="4" t="s">
        <v>100</v>
      </c>
    </row>
    <row r="41" spans="1:15">
      <c r="A41" s="16">
        <v>4</v>
      </c>
      <c r="B41" s="5">
        <v>0.75</v>
      </c>
      <c r="C41" s="5">
        <v>10.5</v>
      </c>
      <c r="D41" s="6">
        <f>(rho*grav*C41+25)*$G$5</f>
        <v>169.75416250000001</v>
      </c>
      <c r="E41" s="6">
        <v>1</v>
      </c>
      <c r="F41" s="5">
        <v>12</v>
      </c>
      <c r="G41" s="5">
        <v>355</v>
      </c>
      <c r="H41" s="5">
        <v>1.1499999999999999</v>
      </c>
      <c r="I41" s="6">
        <f>G41/H41</f>
        <v>308.69565217391306</v>
      </c>
      <c r="J41" s="5">
        <v>0</v>
      </c>
      <c r="K41" s="6">
        <f>I41-J41</f>
        <v>308.69565217391306</v>
      </c>
      <c r="L41" s="23">
        <f>A41^2*B41*D41/(F41*K41*E41)*10^3</f>
        <v>549.90785035211263</v>
      </c>
      <c r="M41" s="12">
        <v>0</v>
      </c>
      <c r="N41" s="25">
        <f>0.577*SQRT(I41^2-M41^2)</f>
        <v>178.11739130434782</v>
      </c>
      <c r="O41" s="25">
        <f>A41*B41*D41*10^3/(2*N41)</f>
        <v>1429.5698016086119</v>
      </c>
    </row>
    <row r="44" spans="1:15">
      <c r="A44" s="8" t="s">
        <v>75</v>
      </c>
    </row>
    <row r="45" spans="1:15">
      <c r="A45" t="s">
        <v>91</v>
      </c>
      <c r="C45">
        <v>750</v>
      </c>
      <c r="D45">
        <v>12</v>
      </c>
      <c r="E45" s="1" t="s">
        <v>93</v>
      </c>
      <c r="F45">
        <v>537</v>
      </c>
      <c r="G45" s="2" t="s">
        <v>94</v>
      </c>
      <c r="H45" s="1" t="s">
        <v>101</v>
      </c>
      <c r="I45">
        <f>250*12</f>
        <v>3000</v>
      </c>
    </row>
    <row r="46" spans="1:15">
      <c r="A46" s="5" t="s">
        <v>88</v>
      </c>
      <c r="B46" s="5" t="s">
        <v>78</v>
      </c>
      <c r="C46" s="5" t="s">
        <v>89</v>
      </c>
      <c r="D46" s="22" t="s">
        <v>83</v>
      </c>
      <c r="E46" s="5" t="s">
        <v>71</v>
      </c>
      <c r="F46" s="5" t="s">
        <v>74</v>
      </c>
      <c r="G46" s="5" t="s">
        <v>79</v>
      </c>
      <c r="H46" s="10" t="s">
        <v>43</v>
      </c>
      <c r="I46" s="5" t="s">
        <v>80</v>
      </c>
      <c r="J46" s="15" t="s">
        <v>73</v>
      </c>
      <c r="K46" s="4" t="s">
        <v>72</v>
      </c>
      <c r="L46" s="4" t="s">
        <v>90</v>
      </c>
      <c r="M46" s="15" t="s">
        <v>99</v>
      </c>
      <c r="N46" s="4" t="s">
        <v>98</v>
      </c>
      <c r="O46" s="4" t="s">
        <v>100</v>
      </c>
    </row>
    <row r="47" spans="1:15">
      <c r="A47" s="16">
        <v>4</v>
      </c>
      <c r="B47" s="5">
        <v>0.75</v>
      </c>
      <c r="C47" s="5">
        <v>0</v>
      </c>
      <c r="D47" s="6">
        <f>(rho*grav*C47+25)*$G$5</f>
        <v>32.5</v>
      </c>
      <c r="E47" s="6">
        <v>1</v>
      </c>
      <c r="F47" s="5">
        <v>12</v>
      </c>
      <c r="G47" s="5">
        <v>355</v>
      </c>
      <c r="H47" s="5">
        <v>1.1499999999999999</v>
      </c>
      <c r="I47" s="6">
        <f>G47/H47</f>
        <v>308.69565217391306</v>
      </c>
      <c r="J47" s="5">
        <v>0</v>
      </c>
      <c r="K47" s="6">
        <f>I47-J47</f>
        <v>308.69565217391306</v>
      </c>
      <c r="L47" s="6">
        <f>A47^2*B47*D47/(F47*K47*E47)*10^3</f>
        <v>105.28169014084506</v>
      </c>
      <c r="M47" s="12">
        <v>0</v>
      </c>
      <c r="N47" s="25">
        <f>0.577*SQRT(I47^2-M47^2)</f>
        <v>178.11739130434782</v>
      </c>
      <c r="O47" s="25">
        <f>A47*B47*D47*10^3/(2*N47)</f>
        <v>273.69590157931992</v>
      </c>
    </row>
    <row r="49" spans="1:15">
      <c r="A49" t="s">
        <v>96</v>
      </c>
    </row>
    <row r="50" spans="1:15">
      <c r="A50" t="s">
        <v>95</v>
      </c>
      <c r="C50">
        <v>750</v>
      </c>
      <c r="D50">
        <v>12</v>
      </c>
      <c r="E50" s="1" t="s">
        <v>93</v>
      </c>
      <c r="F50">
        <v>490</v>
      </c>
      <c r="G50" s="2" t="s">
        <v>94</v>
      </c>
      <c r="H50" s="1" t="s">
        <v>101</v>
      </c>
      <c r="I50">
        <f>250*10</f>
        <v>2500</v>
      </c>
      <c r="K50" t="s">
        <v>97</v>
      </c>
    </row>
    <row r="51" spans="1:15">
      <c r="A51" s="5" t="s">
        <v>88</v>
      </c>
      <c r="B51" s="5" t="s">
        <v>78</v>
      </c>
      <c r="C51" s="5" t="s">
        <v>89</v>
      </c>
      <c r="D51" s="22" t="s">
        <v>83</v>
      </c>
      <c r="E51" s="5" t="s">
        <v>71</v>
      </c>
      <c r="F51" s="5" t="s">
        <v>74</v>
      </c>
      <c r="G51" s="5" t="s">
        <v>79</v>
      </c>
      <c r="H51" s="10" t="s">
        <v>43</v>
      </c>
      <c r="I51" s="5" t="s">
        <v>80</v>
      </c>
      <c r="J51" s="15" t="s">
        <v>73</v>
      </c>
      <c r="K51" s="4" t="s">
        <v>72</v>
      </c>
      <c r="L51" s="4" t="s">
        <v>90</v>
      </c>
      <c r="M51" s="15" t="s">
        <v>99</v>
      </c>
      <c r="N51" s="4" t="s">
        <v>98</v>
      </c>
      <c r="O51" s="4" t="s">
        <v>100</v>
      </c>
    </row>
    <row r="52" spans="1:15">
      <c r="A52" s="16">
        <v>4</v>
      </c>
      <c r="B52" s="5">
        <v>0.7</v>
      </c>
      <c r="C52" s="7">
        <f>10.5-0.7</f>
        <v>9.8000000000000007</v>
      </c>
      <c r="D52" s="6">
        <f t="shared" ref="D52:D60" si="1">(rho*grav*C52+25)*$G$5</f>
        <v>160.60388499999999</v>
      </c>
      <c r="E52" s="6">
        <v>1</v>
      </c>
      <c r="F52" s="5">
        <v>12</v>
      </c>
      <c r="G52" s="5">
        <v>355</v>
      </c>
      <c r="H52" s="5">
        <v>1.1499999999999999</v>
      </c>
      <c r="I52" s="6">
        <f>G52/H52</f>
        <v>308.69565217391306</v>
      </c>
      <c r="J52" s="5">
        <v>0</v>
      </c>
      <c r="K52" s="6">
        <f>I52-J52</f>
        <v>308.69565217391306</v>
      </c>
      <c r="L52" s="6">
        <f>A52^2*B52*D52/(F52*K52*E52)*10^3</f>
        <v>485.58169924882617</v>
      </c>
      <c r="M52" s="12"/>
      <c r="N52" s="23">
        <f>0.577*SQRT(I52^2-M52^2)</f>
        <v>178.11739130434782</v>
      </c>
      <c r="O52" s="23">
        <f>A52*B52*D52*10^3/(2*N52)</f>
        <v>1262.3441054995483</v>
      </c>
    </row>
    <row r="53" spans="1:15">
      <c r="A53" s="16">
        <v>4</v>
      </c>
      <c r="B53" s="5">
        <v>0.7</v>
      </c>
      <c r="C53" s="7">
        <f>C52-0.7</f>
        <v>9.1000000000000014</v>
      </c>
      <c r="D53" s="6">
        <f t="shared" si="1"/>
        <v>151.4536075</v>
      </c>
      <c r="E53" s="6">
        <v>1</v>
      </c>
      <c r="F53" s="5">
        <v>12</v>
      </c>
      <c r="G53" s="5">
        <v>355</v>
      </c>
      <c r="H53" s="5">
        <v>1.1499999999999999</v>
      </c>
      <c r="I53" s="6">
        <f t="shared" ref="I53:I55" si="2">G53/H53</f>
        <v>308.69565217391306</v>
      </c>
      <c r="J53" s="5">
        <v>0</v>
      </c>
      <c r="K53" s="6">
        <f t="shared" ref="K53:K55" si="3">I53-J53</f>
        <v>308.69565217391306</v>
      </c>
      <c r="L53" s="6">
        <f t="shared" ref="L53:L60" si="4">A53^2*B53*D53/(F53*K53*E53)*10^3</f>
        <v>457.91607150234734</v>
      </c>
      <c r="M53" s="12"/>
      <c r="N53" s="23">
        <f t="shared" ref="N53:N60" si="5">0.577*SQRT(I53^2-M53^2)</f>
        <v>178.11739130434782</v>
      </c>
      <c r="O53" s="23">
        <f t="shared" ref="O53:O60" si="6">A53*B53*D53*10^3/(2*N53)</f>
        <v>1190.423062831059</v>
      </c>
    </row>
    <row r="54" spans="1:15">
      <c r="A54" s="16">
        <v>4</v>
      </c>
      <c r="B54" s="5">
        <v>0.7</v>
      </c>
      <c r="C54" s="7">
        <f t="shared" ref="C54:C60" si="7">C53-0.7</f>
        <v>8.4000000000000021</v>
      </c>
      <c r="D54" s="6">
        <f t="shared" si="1"/>
        <v>142.30333000000002</v>
      </c>
      <c r="E54" s="6">
        <v>1</v>
      </c>
      <c r="F54" s="5">
        <v>12</v>
      </c>
      <c r="G54" s="5">
        <v>355</v>
      </c>
      <c r="H54" s="5">
        <v>1.1499999999999999</v>
      </c>
      <c r="I54" s="6">
        <f t="shared" si="2"/>
        <v>308.69565217391306</v>
      </c>
      <c r="J54" s="5">
        <v>0</v>
      </c>
      <c r="K54" s="6">
        <f t="shared" si="3"/>
        <v>308.69565217391306</v>
      </c>
      <c r="L54" s="6">
        <f t="shared" si="4"/>
        <v>430.25044375586856</v>
      </c>
      <c r="M54" s="12"/>
      <c r="N54" s="23">
        <f t="shared" si="5"/>
        <v>178.11739130434782</v>
      </c>
      <c r="O54" s="23">
        <f t="shared" si="6"/>
        <v>1118.50202016257</v>
      </c>
    </row>
    <row r="55" spans="1:15">
      <c r="A55" s="16">
        <v>4</v>
      </c>
      <c r="B55" s="5">
        <v>0.7</v>
      </c>
      <c r="C55" s="7">
        <f t="shared" si="7"/>
        <v>7.700000000000002</v>
      </c>
      <c r="D55" s="6">
        <f t="shared" si="1"/>
        <v>133.15305250000003</v>
      </c>
      <c r="E55" s="6">
        <v>1</v>
      </c>
      <c r="F55" s="5">
        <v>12</v>
      </c>
      <c r="G55" s="5">
        <v>355</v>
      </c>
      <c r="H55" s="5">
        <v>1.1499999999999999</v>
      </c>
      <c r="I55" s="6">
        <f t="shared" si="2"/>
        <v>308.69565217391306</v>
      </c>
      <c r="J55" s="5">
        <v>0</v>
      </c>
      <c r="K55" s="6">
        <f t="shared" si="3"/>
        <v>308.69565217391306</v>
      </c>
      <c r="L55" s="6">
        <f t="shared" si="4"/>
        <v>402.58481600938973</v>
      </c>
      <c r="M55" s="12"/>
      <c r="N55" s="23">
        <f t="shared" si="5"/>
        <v>178.11739130434782</v>
      </c>
      <c r="O55" s="23">
        <f t="shared" si="6"/>
        <v>1046.5809774940808</v>
      </c>
    </row>
    <row r="56" spans="1:15">
      <c r="A56" s="16">
        <v>4</v>
      </c>
      <c r="B56" s="5">
        <v>0.7</v>
      </c>
      <c r="C56" s="7">
        <f t="shared" si="7"/>
        <v>7.0000000000000018</v>
      </c>
      <c r="D56" s="6">
        <f t="shared" si="1"/>
        <v>124.00277500000001</v>
      </c>
      <c r="E56" s="6">
        <v>1</v>
      </c>
      <c r="F56" s="5">
        <v>12</v>
      </c>
      <c r="G56" s="5">
        <v>355</v>
      </c>
      <c r="H56" s="5">
        <v>1.1499999999999999</v>
      </c>
      <c r="I56" s="6">
        <f t="shared" ref="I56:I60" si="8">G56/H56</f>
        <v>308.69565217391306</v>
      </c>
      <c r="J56" s="5">
        <v>0</v>
      </c>
      <c r="K56" s="6">
        <f t="shared" ref="K56:K60" si="9">I56-J56</f>
        <v>308.69565217391306</v>
      </c>
      <c r="L56" s="6">
        <f t="shared" si="4"/>
        <v>374.91918826291084</v>
      </c>
      <c r="M56" s="12"/>
      <c r="N56" s="23">
        <f t="shared" si="5"/>
        <v>178.11739130434782</v>
      </c>
      <c r="O56" s="23">
        <f t="shared" si="6"/>
        <v>974.65993482559145</v>
      </c>
    </row>
    <row r="57" spans="1:15">
      <c r="A57" s="16">
        <v>4</v>
      </c>
      <c r="B57" s="5">
        <v>0.7</v>
      </c>
      <c r="C57" s="7">
        <f t="shared" si="7"/>
        <v>6.3000000000000016</v>
      </c>
      <c r="D57" s="6">
        <f t="shared" si="1"/>
        <v>114.85249750000001</v>
      </c>
      <c r="E57" s="6">
        <v>1</v>
      </c>
      <c r="F57" s="5">
        <v>12</v>
      </c>
      <c r="G57" s="5">
        <v>355</v>
      </c>
      <c r="H57" s="5">
        <v>1.1499999999999999</v>
      </c>
      <c r="I57" s="6">
        <f t="shared" si="8"/>
        <v>308.69565217391306</v>
      </c>
      <c r="J57" s="5">
        <v>0</v>
      </c>
      <c r="K57" s="6">
        <f t="shared" si="9"/>
        <v>308.69565217391306</v>
      </c>
      <c r="L57" s="6">
        <f t="shared" si="4"/>
        <v>347.25356051643189</v>
      </c>
      <c r="M57" s="12"/>
      <c r="N57" s="23">
        <f t="shared" si="5"/>
        <v>178.11739130434782</v>
      </c>
      <c r="O57" s="23">
        <f t="shared" si="6"/>
        <v>902.7388921571021</v>
      </c>
    </row>
    <row r="58" spans="1:15">
      <c r="A58" s="16">
        <v>4</v>
      </c>
      <c r="B58" s="5">
        <v>0.7</v>
      </c>
      <c r="C58" s="7">
        <f t="shared" si="7"/>
        <v>5.6000000000000014</v>
      </c>
      <c r="D58" s="6">
        <f t="shared" si="1"/>
        <v>105.70222000000001</v>
      </c>
      <c r="E58" s="6">
        <v>1</v>
      </c>
      <c r="F58" s="5">
        <v>12</v>
      </c>
      <c r="G58" s="5">
        <v>355</v>
      </c>
      <c r="H58" s="5">
        <v>1.1499999999999999</v>
      </c>
      <c r="I58" s="6">
        <f t="shared" si="8"/>
        <v>308.69565217391306</v>
      </c>
      <c r="J58" s="5">
        <v>0</v>
      </c>
      <c r="K58" s="6">
        <f t="shared" si="9"/>
        <v>308.69565217391306</v>
      </c>
      <c r="L58" s="6">
        <f t="shared" si="4"/>
        <v>319.58793276995306</v>
      </c>
      <c r="M58" s="12"/>
      <c r="N58" s="23">
        <f t="shared" si="5"/>
        <v>178.11739130434782</v>
      </c>
      <c r="O58" s="23">
        <f t="shared" si="6"/>
        <v>830.81784948861286</v>
      </c>
    </row>
    <row r="59" spans="1:15">
      <c r="A59" s="16">
        <v>4</v>
      </c>
      <c r="B59" s="5">
        <v>0.7</v>
      </c>
      <c r="C59" s="7">
        <f t="shared" si="7"/>
        <v>4.9000000000000012</v>
      </c>
      <c r="D59" s="6">
        <f t="shared" si="1"/>
        <v>96.551942499999996</v>
      </c>
      <c r="E59" s="6">
        <v>1</v>
      </c>
      <c r="F59" s="5">
        <v>12</v>
      </c>
      <c r="G59" s="5">
        <v>355</v>
      </c>
      <c r="H59" s="5">
        <v>1.1499999999999999</v>
      </c>
      <c r="I59" s="6">
        <f t="shared" si="8"/>
        <v>308.69565217391306</v>
      </c>
      <c r="J59" s="5">
        <v>0</v>
      </c>
      <c r="K59" s="6">
        <f t="shared" si="9"/>
        <v>308.69565217391306</v>
      </c>
      <c r="L59" s="6">
        <f t="shared" si="4"/>
        <v>291.92230502347411</v>
      </c>
      <c r="M59" s="12"/>
      <c r="N59" s="23">
        <f t="shared" si="5"/>
        <v>178.11739130434782</v>
      </c>
      <c r="O59" s="23">
        <f t="shared" si="6"/>
        <v>758.8968068201234</v>
      </c>
    </row>
    <row r="60" spans="1:15">
      <c r="A60" s="16">
        <v>4</v>
      </c>
      <c r="B60" s="5">
        <v>0.7</v>
      </c>
      <c r="C60" s="7">
        <f t="shared" si="7"/>
        <v>4.2000000000000011</v>
      </c>
      <c r="D60" s="6">
        <f t="shared" si="1"/>
        <v>87.401665000000023</v>
      </c>
      <c r="E60" s="6">
        <v>1</v>
      </c>
      <c r="F60" s="5">
        <v>12</v>
      </c>
      <c r="G60" s="5">
        <v>355</v>
      </c>
      <c r="H60" s="5">
        <v>1.1499999999999999</v>
      </c>
      <c r="I60" s="6">
        <f t="shared" si="8"/>
        <v>308.69565217391306</v>
      </c>
      <c r="J60" s="5">
        <v>0</v>
      </c>
      <c r="K60" s="6">
        <f t="shared" si="9"/>
        <v>308.69565217391306</v>
      </c>
      <c r="L60" s="6">
        <f t="shared" si="4"/>
        <v>264.25667727699533</v>
      </c>
      <c r="M60" s="12"/>
      <c r="N60" s="23">
        <f t="shared" si="5"/>
        <v>178.11739130434782</v>
      </c>
      <c r="O60" s="23">
        <f t="shared" si="6"/>
        <v>686.97576415163439</v>
      </c>
    </row>
    <row r="62" spans="1:15">
      <c r="A62" s="8" t="s">
        <v>102</v>
      </c>
    </row>
    <row r="76" spans="18:18">
      <c r="R76" s="13"/>
    </row>
    <row r="77" spans="18:18">
      <c r="R77" s="13"/>
    </row>
    <row r="78" spans="18:18">
      <c r="R78" s="13"/>
    </row>
  </sheetData>
  <phoneticPr fontId="1" type="noConversion"/>
  <dataValidations disablePrompts="1" count="1">
    <dataValidation type="list" allowBlank="1" showInputMessage="1" showErrorMessage="1" sqref="D13 D19" xr:uid="{E57C0F46-2864-4D5F-89A0-5EB8CF051FF3}">
      <formula1>#REF!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E2C1A-13AA-4959-AA4D-B2D3471954EE}">
  <sheetPr codeName="Sheet6"/>
  <dimension ref="A1:R452"/>
  <sheetViews>
    <sheetView topLeftCell="A5" zoomScale="115" zoomScaleNormal="115" workbookViewId="0">
      <selection activeCell="F14" sqref="F14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21" t="s">
        <v>38</v>
      </c>
      <c r="F4" s="121"/>
      <c r="G4" s="121"/>
      <c r="H4" s="121"/>
      <c r="I4" s="121"/>
      <c r="J4" s="121"/>
      <c r="K4" s="121"/>
      <c r="L4" s="121"/>
    </row>
    <row r="5" spans="1:12" ht="12" customHeight="1">
      <c r="A5" s="27"/>
      <c r="B5" s="27"/>
      <c r="C5" s="27"/>
      <c r="D5" s="27"/>
      <c r="E5" s="121"/>
      <c r="F5" s="121"/>
      <c r="G5" s="121"/>
      <c r="H5" s="121"/>
      <c r="I5" s="121"/>
      <c r="J5" s="121"/>
      <c r="K5" s="121"/>
      <c r="L5" s="121"/>
    </row>
    <row r="7" spans="1:12" ht="12" customHeight="1">
      <c r="A7" s="28" t="s">
        <v>104</v>
      </c>
      <c r="C7" s="61" t="s">
        <v>158</v>
      </c>
      <c r="D7" s="63"/>
      <c r="E7" s="63"/>
      <c r="F7" s="63"/>
      <c r="G7" s="63"/>
      <c r="H7" s="63"/>
      <c r="I7" s="63"/>
      <c r="J7" s="63"/>
      <c r="K7" s="63"/>
      <c r="L7" s="57"/>
    </row>
    <row r="8" spans="1:12" s="37" customFormat="1" ht="12" customHeight="1">
      <c r="C8" s="38"/>
      <c r="D8" s="38"/>
      <c r="E8" s="38"/>
      <c r="F8" s="39"/>
    </row>
    <row r="9" spans="1:12" s="37" customFormat="1" ht="12" customHeight="1">
      <c r="A9" s="37" t="s">
        <v>178</v>
      </c>
      <c r="C9" s="38"/>
      <c r="D9" s="104" t="s">
        <v>189</v>
      </c>
      <c r="E9" s="109">
        <v>0</v>
      </c>
      <c r="F9" s="39" t="s">
        <v>21</v>
      </c>
      <c r="G9" s="37" t="s">
        <v>190</v>
      </c>
    </row>
    <row r="10" spans="1:12" s="37" customFormat="1" ht="12" customHeight="1">
      <c r="A10" s="37" t="s">
        <v>179</v>
      </c>
      <c r="D10" s="105" t="s">
        <v>182</v>
      </c>
      <c r="E10" s="109">
        <v>4.29</v>
      </c>
      <c r="F10" s="36" t="s">
        <v>21</v>
      </c>
    </row>
    <row r="11" spans="1:12" s="37" customFormat="1" ht="12" customHeight="1">
      <c r="A11" s="37" t="s">
        <v>194</v>
      </c>
      <c r="D11" s="105" t="s">
        <v>193</v>
      </c>
      <c r="E11" s="110">
        <f>E10-E9</f>
        <v>4.29</v>
      </c>
      <c r="F11" s="39" t="s">
        <v>21</v>
      </c>
      <c r="G11" s="37" t="s">
        <v>195</v>
      </c>
    </row>
    <row r="12" spans="1:12" s="37" customFormat="1" ht="12" customHeight="1">
      <c r="A12" s="37" t="s">
        <v>180</v>
      </c>
      <c r="D12" s="105" t="s">
        <v>183</v>
      </c>
      <c r="E12" s="109">
        <v>15.04</v>
      </c>
      <c r="F12" s="36" t="s">
        <v>21</v>
      </c>
    </row>
    <row r="13" spans="1:12" s="37" customFormat="1" ht="12" customHeight="1">
      <c r="A13" s="37" t="s">
        <v>202</v>
      </c>
      <c r="D13" s="105" t="s">
        <v>184</v>
      </c>
      <c r="E13" s="89">
        <v>11.4</v>
      </c>
      <c r="F13" s="36" t="s">
        <v>185</v>
      </c>
    </row>
    <row r="14" spans="1:12" s="37" customFormat="1" ht="12" customHeight="1">
      <c r="D14" s="105" t="s">
        <v>181</v>
      </c>
      <c r="E14" s="89">
        <f>E10+E12/2</f>
        <v>11.809999999999999</v>
      </c>
      <c r="F14" s="36" t="s">
        <v>21</v>
      </c>
      <c r="G14" s="37" t="s">
        <v>188</v>
      </c>
    </row>
    <row r="15" spans="1:12" s="37" customFormat="1" ht="12" customHeight="1">
      <c r="A15" s="37" t="s">
        <v>187</v>
      </c>
      <c r="B15" s="38"/>
      <c r="C15" s="38"/>
      <c r="D15" s="106" t="s">
        <v>186</v>
      </c>
      <c r="E15" s="107">
        <f>2*PI()/E13</f>
        <v>0.55115660589294613</v>
      </c>
    </row>
    <row r="16" spans="1:12" s="37" customFormat="1" ht="12" customHeight="1">
      <c r="A16" s="37" t="s">
        <v>192</v>
      </c>
      <c r="D16" s="106" t="s">
        <v>191</v>
      </c>
      <c r="E16" s="108">
        <v>54</v>
      </c>
      <c r="F16" s="36" t="s">
        <v>21</v>
      </c>
    </row>
    <row r="17" spans="1:12" s="37" customFormat="1" ht="12" customHeight="1">
      <c r="A17" s="37" t="s">
        <v>199</v>
      </c>
      <c r="D17" s="105" t="s">
        <v>198</v>
      </c>
      <c r="E17" s="111">
        <f>2*PI()/E16</f>
        <v>0.11635528346628864</v>
      </c>
      <c r="F17" s="36"/>
    </row>
    <row r="18" spans="1:12" s="37" customFormat="1" ht="12" customHeight="1">
      <c r="A18" s="37" t="s">
        <v>200</v>
      </c>
      <c r="D18" s="104" t="s">
        <v>196</v>
      </c>
      <c r="E18" s="92"/>
      <c r="F18" s="39" t="s">
        <v>21</v>
      </c>
    </row>
    <row r="19" spans="1:12" s="37" customFormat="1" ht="12" customHeight="1">
      <c r="A19" s="37" t="s">
        <v>201</v>
      </c>
      <c r="D19" s="104" t="s">
        <v>197</v>
      </c>
      <c r="E19" s="92"/>
    </row>
    <row r="20" spans="1:12" s="37" customFormat="1" ht="12" customHeight="1">
      <c r="A20" s="37" t="s">
        <v>204</v>
      </c>
      <c r="D20" s="112" t="s">
        <v>203</v>
      </c>
      <c r="E20" s="62">
        <v>0</v>
      </c>
      <c r="F20" s="36" t="s">
        <v>205</v>
      </c>
    </row>
    <row r="21" spans="1:12" s="37" customFormat="1" ht="12" customHeight="1">
      <c r="I21" s="46">
        <v>9</v>
      </c>
    </row>
    <row r="22" spans="1:12" s="37" customFormat="1" ht="12" customHeight="1"/>
    <row r="23" spans="1:12" ht="12" customHeight="1">
      <c r="A23" s="30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</row>
    <row r="24" spans="1:12" ht="15" customHeight="1">
      <c r="B24" s="113">
        <v>10.5</v>
      </c>
      <c r="C24" s="98">
        <f>1.025*9.81*($E$14-B24)</f>
        <v>13.172377499999985</v>
      </c>
      <c r="E24" s="26">
        <f>C24+D24</f>
        <v>13.172377499999985</v>
      </c>
    </row>
    <row r="25" spans="1:12" ht="15" customHeight="1">
      <c r="B25" s="113">
        <v>10</v>
      </c>
      <c r="C25" s="98">
        <f t="shared" ref="C25:C37" si="0">1.025*9.81*($E$14-B25)</f>
        <v>18.200002499999986</v>
      </c>
      <c r="E25" s="26">
        <f t="shared" ref="E25:E46" si="1">C25+D25</f>
        <v>18.200002499999986</v>
      </c>
    </row>
    <row r="26" spans="1:12" ht="15" customHeight="1">
      <c r="B26" s="113">
        <v>9.5</v>
      </c>
      <c r="C26" s="98">
        <f t="shared" si="0"/>
        <v>23.227627499999986</v>
      </c>
      <c r="E26" s="26">
        <f t="shared" si="1"/>
        <v>23.227627499999986</v>
      </c>
    </row>
    <row r="27" spans="1:12" ht="15" customHeight="1">
      <c r="B27" s="113">
        <v>9</v>
      </c>
      <c r="C27" s="98">
        <f t="shared" si="0"/>
        <v>28.255252499999983</v>
      </c>
      <c r="E27" s="26">
        <f t="shared" si="1"/>
        <v>28.255252499999983</v>
      </c>
    </row>
    <row r="28" spans="1:12" ht="15" customHeight="1">
      <c r="B28" s="113">
        <v>8.5</v>
      </c>
      <c r="C28" s="98">
        <f t="shared" si="0"/>
        <v>33.282877499999984</v>
      </c>
      <c r="E28" s="26">
        <f t="shared" si="1"/>
        <v>33.282877499999984</v>
      </c>
    </row>
    <row r="29" spans="1:12" ht="15" customHeight="1">
      <c r="B29" s="113">
        <v>8</v>
      </c>
      <c r="C29" s="98">
        <f t="shared" si="0"/>
        <v>38.310502499999984</v>
      </c>
      <c r="E29" s="26">
        <f t="shared" si="1"/>
        <v>38.310502499999984</v>
      </c>
    </row>
    <row r="30" spans="1:12" ht="15" customHeight="1">
      <c r="B30" s="113">
        <v>7.5</v>
      </c>
      <c r="C30" s="98">
        <f t="shared" si="0"/>
        <v>43.338127499999985</v>
      </c>
      <c r="E30" s="26">
        <f t="shared" si="1"/>
        <v>43.338127499999985</v>
      </c>
    </row>
    <row r="31" spans="1:12" ht="15" customHeight="1">
      <c r="B31" s="113">
        <v>7</v>
      </c>
      <c r="C31" s="98">
        <f t="shared" si="0"/>
        <v>48.365752499999985</v>
      </c>
      <c r="E31" s="26">
        <f t="shared" si="1"/>
        <v>48.365752499999985</v>
      </c>
    </row>
    <row r="32" spans="1:12" ht="15" customHeight="1">
      <c r="B32" s="113">
        <v>6.5</v>
      </c>
      <c r="C32" s="98">
        <f t="shared" si="0"/>
        <v>53.393377499999986</v>
      </c>
      <c r="E32" s="26">
        <f t="shared" si="1"/>
        <v>53.393377499999986</v>
      </c>
    </row>
    <row r="33" spans="2:5" ht="15" customHeight="1">
      <c r="B33" s="113">
        <v>6</v>
      </c>
      <c r="C33" s="98">
        <f t="shared" si="0"/>
        <v>58.421002499999979</v>
      </c>
      <c r="E33" s="26">
        <f t="shared" si="1"/>
        <v>58.421002499999979</v>
      </c>
    </row>
    <row r="34" spans="2:5" ht="15" customHeight="1">
      <c r="B34" s="113">
        <v>5.5</v>
      </c>
      <c r="C34" s="98">
        <f t="shared" si="0"/>
        <v>63.448627499999979</v>
      </c>
      <c r="E34" s="26">
        <f t="shared" si="1"/>
        <v>63.448627499999979</v>
      </c>
    </row>
    <row r="35" spans="2:5" ht="15" customHeight="1">
      <c r="B35" s="113">
        <v>5</v>
      </c>
      <c r="C35" s="98">
        <f t="shared" si="0"/>
        <v>68.476252499999987</v>
      </c>
      <c r="E35" s="26">
        <f t="shared" si="1"/>
        <v>68.476252499999987</v>
      </c>
    </row>
    <row r="36" spans="2:5" ht="15" customHeight="1">
      <c r="B36" s="113">
        <v>4.5</v>
      </c>
      <c r="C36" s="98">
        <f t="shared" si="0"/>
        <v>73.503877499999987</v>
      </c>
      <c r="E36" s="26">
        <f t="shared" si="1"/>
        <v>73.503877499999987</v>
      </c>
    </row>
    <row r="37" spans="2:5" ht="15" customHeight="1">
      <c r="B37" s="113">
        <v>4.29</v>
      </c>
      <c r="C37" s="98">
        <f t="shared" si="0"/>
        <v>75.615479999999977</v>
      </c>
      <c r="D37" s="115">
        <f>1.025*9.81*($E$10-B37)</f>
        <v>0</v>
      </c>
      <c r="E37" s="26">
        <f t="shared" si="1"/>
        <v>75.615479999999977</v>
      </c>
    </row>
    <row r="38" spans="2:5" ht="15" customHeight="1">
      <c r="B38" s="113">
        <v>4</v>
      </c>
      <c r="C38" s="114">
        <f>0.5*1.025*9.81*$E$12*EXP(-$E$17*($E$10-B38))</f>
        <v>73.106551893415485</v>
      </c>
      <c r="D38" s="115">
        <f t="shared" ref="D38:D46" si="2">1.025*9.81*($E$10-B38)</f>
        <v>2.9160225</v>
      </c>
      <c r="E38" s="26">
        <f t="shared" si="1"/>
        <v>76.022574393415482</v>
      </c>
    </row>
    <row r="39" spans="2:5" ht="15" customHeight="1">
      <c r="B39" s="113">
        <v>3.5</v>
      </c>
      <c r="C39" s="114">
        <f t="shared" ref="C39:C46" si="3">0.5*1.025*9.81*$E$12*EXP(-$E$17*($E$10-B39))</f>
        <v>68.974739970787439</v>
      </c>
      <c r="D39" s="115">
        <f t="shared" si="2"/>
        <v>7.9436475</v>
      </c>
      <c r="E39" s="26">
        <f t="shared" si="1"/>
        <v>76.918387470787437</v>
      </c>
    </row>
    <row r="40" spans="2:5" ht="15" customHeight="1">
      <c r="B40" s="113">
        <v>3</v>
      </c>
      <c r="C40" s="114">
        <f t="shared" si="3"/>
        <v>65.076448427958738</v>
      </c>
      <c r="D40" s="115">
        <f t="shared" si="2"/>
        <v>12.9712725</v>
      </c>
      <c r="E40" s="26">
        <f t="shared" si="1"/>
        <v>78.047720927958736</v>
      </c>
    </row>
    <row r="41" spans="2:5" ht="15" customHeight="1">
      <c r="B41" s="113">
        <v>2.5</v>
      </c>
      <c r="C41" s="114">
        <f t="shared" si="3"/>
        <v>61.398479237332111</v>
      </c>
      <c r="D41" s="115">
        <f t="shared" si="2"/>
        <v>17.998897499999998</v>
      </c>
      <c r="E41" s="26">
        <f t="shared" si="1"/>
        <v>79.39737673733211</v>
      </c>
    </row>
    <row r="42" spans="2:5" ht="15" customHeight="1">
      <c r="B42" s="113">
        <v>2</v>
      </c>
      <c r="C42" s="114">
        <f t="shared" si="3"/>
        <v>57.928380293069246</v>
      </c>
      <c r="D42" s="115">
        <f t="shared" si="2"/>
        <v>23.026522499999999</v>
      </c>
      <c r="E42" s="26">
        <f t="shared" si="1"/>
        <v>80.954902793069238</v>
      </c>
    </row>
    <row r="43" spans="2:5" ht="15" customHeight="1">
      <c r="B43" s="113">
        <v>1.5</v>
      </c>
      <c r="C43" s="114">
        <f t="shared" si="3"/>
        <v>54.654403253331537</v>
      </c>
      <c r="D43" s="115">
        <f t="shared" si="2"/>
        <v>28.054147499999999</v>
      </c>
      <c r="E43" s="26">
        <f t="shared" si="1"/>
        <v>82.708550753331536</v>
      </c>
    </row>
    <row r="44" spans="2:5" ht="15" customHeight="1">
      <c r="B44" s="113">
        <v>1</v>
      </c>
      <c r="C44" s="114">
        <f t="shared" si="3"/>
        <v>51.565463765179103</v>
      </c>
      <c r="D44" s="115">
        <f t="shared" si="2"/>
        <v>33.0817725</v>
      </c>
      <c r="E44" s="26">
        <f t="shared" si="1"/>
        <v>84.647236265179103</v>
      </c>
    </row>
    <row r="45" spans="2:5" ht="15" customHeight="1">
      <c r="B45" s="113">
        <v>0.5</v>
      </c>
      <c r="C45" s="114">
        <f t="shared" si="3"/>
        <v>48.651103937465749</v>
      </c>
      <c r="D45" s="115">
        <f t="shared" si="2"/>
        <v>38.1093975</v>
      </c>
      <c r="E45" s="26">
        <f t="shared" si="1"/>
        <v>86.760501437465749</v>
      </c>
    </row>
    <row r="46" spans="2:5" ht="15" customHeight="1">
      <c r="B46" s="113">
        <v>0</v>
      </c>
      <c r="C46" s="114">
        <f t="shared" si="3"/>
        <v>45.901456934678535</v>
      </c>
      <c r="D46" s="115">
        <f t="shared" si="2"/>
        <v>43.137022499999993</v>
      </c>
      <c r="E46" s="26">
        <f t="shared" si="1"/>
        <v>89.038479434678521</v>
      </c>
    </row>
    <row r="47" spans="2:5" ht="15" customHeight="1"/>
    <row r="48" spans="2:5" ht="15" customHeight="1"/>
    <row r="49" ht="15" customHeight="1"/>
    <row r="50" ht="15" customHeight="1"/>
    <row r="51" ht="15" customHeight="1"/>
    <row r="52" ht="15" customHeight="1"/>
    <row r="53" ht="15" customHeight="1"/>
    <row r="54" ht="15" customHeight="1"/>
    <row r="55" ht="15" customHeight="1"/>
    <row r="56" ht="15" customHeight="1"/>
    <row r="57" ht="15" customHeight="1"/>
    <row r="58" ht="15" customHeight="1"/>
    <row r="59" ht="15" customHeight="1"/>
    <row r="60" ht="15" customHeight="1"/>
    <row r="61" ht="15" customHeight="1"/>
    <row r="62" ht="15" customHeight="1"/>
    <row r="63" ht="15" customHeight="1"/>
    <row r="64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378" spans="1:12" ht="12" customHeight="1">
      <c r="A378"/>
      <c r="B378"/>
      <c r="C378"/>
      <c r="D378"/>
      <c r="E378"/>
      <c r="F378"/>
      <c r="G378"/>
      <c r="H378"/>
      <c r="I378"/>
      <c r="J378"/>
      <c r="K378"/>
      <c r="L378"/>
    </row>
    <row r="379" spans="1:12" ht="12" customHeight="1">
      <c r="A379"/>
      <c r="B379"/>
      <c r="C379"/>
      <c r="D379"/>
      <c r="E379"/>
      <c r="F379"/>
      <c r="G379"/>
      <c r="H379"/>
      <c r="I379"/>
      <c r="J379"/>
      <c r="K379"/>
      <c r="L379"/>
    </row>
    <row r="380" spans="1:12" ht="12" customHeight="1">
      <c r="A380"/>
      <c r="B380"/>
      <c r="C380"/>
      <c r="D380"/>
      <c r="E380"/>
      <c r="F380"/>
      <c r="G380"/>
      <c r="H380"/>
      <c r="I380"/>
      <c r="J380"/>
      <c r="K380"/>
      <c r="L380"/>
    </row>
    <row r="450" spans="1:12" ht="12" customHeight="1">
      <c r="A450"/>
      <c r="B450"/>
      <c r="C450"/>
      <c r="D450"/>
      <c r="E450"/>
      <c r="F450"/>
      <c r="G450"/>
      <c r="H450"/>
      <c r="I450"/>
      <c r="J450"/>
      <c r="K450"/>
      <c r="L450"/>
    </row>
    <row r="451" spans="1:12" ht="12" customHeight="1">
      <c r="A451"/>
      <c r="B451"/>
      <c r="C451"/>
      <c r="D451"/>
      <c r="E451"/>
      <c r="F451"/>
      <c r="G451"/>
      <c r="H451"/>
      <c r="I451"/>
      <c r="J451"/>
      <c r="K451"/>
      <c r="L451"/>
    </row>
    <row r="452" spans="1:12" ht="12" customHeight="1">
      <c r="A452"/>
      <c r="B452"/>
      <c r="C452"/>
      <c r="D452"/>
      <c r="E452"/>
      <c r="F452"/>
      <c r="G452"/>
      <c r="H452"/>
      <c r="I452"/>
      <c r="J452"/>
      <c r="K452"/>
      <c r="L452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20</xdr:row>
                    <xdr:rowOff>0</xdr:rowOff>
                  </from>
                  <to>
                    <xdr:col>8</xdr:col>
                    <xdr:colOff>0</xdr:colOff>
                    <xdr:row>20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20</xdr:row>
                    <xdr:rowOff>0</xdr:rowOff>
                  </from>
                  <to>
                    <xdr:col>10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leaeAll_Click">
                <anchor moveWithCells="1" sizeWithCells="1">
                  <from>
                    <xdr:col>10</xdr:col>
                    <xdr:colOff>0</xdr:colOff>
                    <xdr:row>20</xdr:row>
                    <xdr:rowOff>0</xdr:rowOff>
                  </from>
                  <to>
                    <xdr:col>11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20</xdr:row>
                    <xdr:rowOff>0</xdr:rowOff>
                  </from>
                  <to>
                    <xdr:col>12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A668-5452-485E-B89A-95E7D66DD8A3}">
  <sheetPr codeName="Sheet5"/>
  <dimension ref="A1:R499"/>
  <sheetViews>
    <sheetView tabSelected="1" zoomScale="145" zoomScaleNormal="145" workbookViewId="0">
      <selection activeCell="I1" sqref="I1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21" t="s">
        <v>38</v>
      </c>
      <c r="F4" s="121"/>
      <c r="G4" s="121"/>
      <c r="H4" s="121"/>
      <c r="I4" s="121"/>
      <c r="J4" s="121"/>
      <c r="K4" s="121"/>
      <c r="L4" s="121"/>
    </row>
    <row r="5" spans="1:12" ht="12" customHeight="1">
      <c r="A5" s="27"/>
      <c r="B5" s="27"/>
      <c r="C5" s="27"/>
      <c r="D5" s="27"/>
      <c r="E5" s="121"/>
      <c r="F5" s="121"/>
      <c r="G5" s="121"/>
      <c r="H5" s="121"/>
      <c r="I5" s="121"/>
      <c r="J5" s="121"/>
      <c r="K5" s="121"/>
      <c r="L5" s="121"/>
    </row>
    <row r="7" spans="1:12" ht="12" customHeight="1">
      <c r="A7" s="28" t="s">
        <v>104</v>
      </c>
      <c r="C7" s="61" t="s">
        <v>260</v>
      </c>
      <c r="D7" s="63"/>
      <c r="E7" s="63"/>
      <c r="F7" s="63"/>
      <c r="G7" s="63"/>
      <c r="H7" s="63"/>
      <c r="I7" s="63"/>
      <c r="J7" s="63"/>
      <c r="K7" s="63"/>
      <c r="L7" s="57"/>
    </row>
    <row r="8" spans="1:12" ht="12" customHeight="1">
      <c r="A8" s="28" t="s">
        <v>207</v>
      </c>
    </row>
    <row r="9" spans="1:12" ht="12" customHeight="1">
      <c r="A9" s="37" t="s">
        <v>178</v>
      </c>
      <c r="B9" s="37"/>
      <c r="C9" s="38"/>
      <c r="D9" s="104" t="s">
        <v>189</v>
      </c>
      <c r="E9" s="109">
        <v>7</v>
      </c>
      <c r="F9" s="39" t="s">
        <v>21</v>
      </c>
      <c r="G9" s="37" t="s">
        <v>190</v>
      </c>
      <c r="H9" s="37"/>
      <c r="I9" s="37"/>
      <c r="J9" s="37"/>
      <c r="K9" s="37"/>
    </row>
    <row r="10" spans="1:12" ht="12" customHeight="1">
      <c r="A10" s="37" t="s">
        <v>210</v>
      </c>
      <c r="B10" s="37"/>
      <c r="C10" s="37"/>
      <c r="D10" s="105" t="s">
        <v>208</v>
      </c>
      <c r="E10" s="119">
        <v>355</v>
      </c>
      <c r="F10" s="37" t="s">
        <v>121</v>
      </c>
      <c r="G10" s="37"/>
      <c r="H10" s="37"/>
      <c r="I10" s="37"/>
      <c r="J10" s="37"/>
      <c r="K10" s="37"/>
    </row>
    <row r="11" spans="1:12" ht="12" customHeight="1">
      <c r="A11" s="37" t="s">
        <v>209</v>
      </c>
      <c r="B11" s="37"/>
      <c r="C11" s="38"/>
      <c r="D11" s="104" t="s">
        <v>211</v>
      </c>
      <c r="E11" s="119">
        <f>E10/E12</f>
        <v>322.72727272727269</v>
      </c>
      <c r="F11" s="37" t="s">
        <v>121</v>
      </c>
      <c r="G11" s="37"/>
      <c r="H11" s="37"/>
      <c r="I11" s="37"/>
      <c r="J11" s="37"/>
      <c r="K11" s="37"/>
    </row>
    <row r="12" spans="1:12" ht="12" customHeight="1">
      <c r="A12" s="37" t="s">
        <v>156</v>
      </c>
      <c r="B12" s="37"/>
      <c r="C12" s="38"/>
      <c r="D12" s="118" t="s">
        <v>212</v>
      </c>
      <c r="E12" s="89">
        <v>1.1000000000000001</v>
      </c>
      <c r="F12" s="39"/>
      <c r="G12" s="37"/>
      <c r="H12" s="37"/>
      <c r="I12" s="37"/>
      <c r="J12" s="37"/>
      <c r="K12" s="37"/>
    </row>
    <row r="13" spans="1:12" ht="12" customHeight="1">
      <c r="A13" s="37" t="s">
        <v>225</v>
      </c>
      <c r="B13" s="37"/>
      <c r="C13" s="38"/>
      <c r="D13" s="118" t="s">
        <v>214</v>
      </c>
      <c r="E13" s="89">
        <v>127</v>
      </c>
      <c r="F13" s="37" t="s">
        <v>121</v>
      </c>
      <c r="G13" s="37"/>
      <c r="H13" s="37"/>
      <c r="I13" s="37"/>
      <c r="J13" s="37"/>
      <c r="K13" s="37"/>
    </row>
    <row r="14" spans="1:12" ht="12" customHeight="1">
      <c r="A14" s="37"/>
      <c r="B14" s="37"/>
      <c r="C14" s="37"/>
      <c r="D14" s="104" t="s">
        <v>116</v>
      </c>
      <c r="E14" s="111">
        <v>0.7</v>
      </c>
      <c r="F14" s="39" t="s">
        <v>21</v>
      </c>
      <c r="G14" s="37"/>
      <c r="H14" s="37"/>
      <c r="I14" s="37"/>
      <c r="J14" s="37"/>
      <c r="K14" s="37"/>
    </row>
    <row r="15" spans="1:12" ht="12" customHeight="1">
      <c r="A15" s="37"/>
      <c r="B15" s="37"/>
      <c r="C15" s="37"/>
      <c r="D15" s="104" t="s">
        <v>115</v>
      </c>
      <c r="E15" s="111">
        <v>4</v>
      </c>
      <c r="F15" s="39" t="s">
        <v>21</v>
      </c>
      <c r="G15" s="37"/>
      <c r="H15" s="37"/>
      <c r="I15" s="37"/>
      <c r="J15" s="37"/>
      <c r="K15" s="37"/>
    </row>
    <row r="16" spans="1:12" ht="12" customHeight="1">
      <c r="A16" s="37" t="s">
        <v>227</v>
      </c>
      <c r="D16" s="105" t="s">
        <v>159</v>
      </c>
      <c r="E16" s="108">
        <v>1</v>
      </c>
      <c r="F16" s="39" t="s">
        <v>151</v>
      </c>
      <c r="G16" s="37"/>
      <c r="H16" s="37"/>
      <c r="I16" s="37"/>
      <c r="J16" s="37"/>
      <c r="K16" s="37"/>
    </row>
    <row r="17" spans="1:11" ht="12" customHeight="1">
      <c r="A17" s="37" t="s">
        <v>226</v>
      </c>
      <c r="D17" s="104" t="s">
        <v>114</v>
      </c>
      <c r="E17" s="108">
        <v>1</v>
      </c>
      <c r="F17" s="39"/>
      <c r="G17" s="37"/>
      <c r="H17" s="37"/>
      <c r="I17" s="37"/>
      <c r="J17" s="37"/>
      <c r="K17" s="37"/>
    </row>
    <row r="18" spans="1:11" ht="12" customHeight="1">
      <c r="A18" s="37" t="s">
        <v>157</v>
      </c>
      <c r="B18" s="37"/>
      <c r="C18" s="37"/>
      <c r="D18" s="104" t="s">
        <v>218</v>
      </c>
      <c r="E18" s="108">
        <v>1</v>
      </c>
      <c r="F18" s="39"/>
      <c r="G18" s="37"/>
      <c r="H18" s="37"/>
      <c r="I18" s="37"/>
      <c r="J18" s="37"/>
      <c r="K18" s="37"/>
    </row>
    <row r="19" spans="1:11" ht="12" customHeight="1">
      <c r="A19" s="117" t="s">
        <v>206</v>
      </c>
      <c r="B19" s="37"/>
      <c r="C19" s="38"/>
      <c r="D19" s="104"/>
      <c r="E19" s="104"/>
      <c r="F19" s="39"/>
      <c r="G19" s="37"/>
      <c r="H19" s="37"/>
      <c r="I19" s="37"/>
      <c r="J19" s="37"/>
      <c r="K19" s="37"/>
    </row>
    <row r="20" spans="1:11" ht="12" customHeight="1">
      <c r="A20" s="37" t="s">
        <v>179</v>
      </c>
      <c r="B20" s="37"/>
      <c r="C20" s="37"/>
      <c r="D20" s="105" t="s">
        <v>182</v>
      </c>
      <c r="E20" s="109">
        <v>4.29</v>
      </c>
      <c r="F20" s="36" t="s">
        <v>21</v>
      </c>
    </row>
    <row r="21" spans="1:11" ht="12" customHeight="1">
      <c r="A21" s="37" t="s">
        <v>194</v>
      </c>
      <c r="B21" s="37"/>
      <c r="C21" s="37"/>
      <c r="D21" s="105" t="s">
        <v>232</v>
      </c>
      <c r="E21" s="110">
        <f>ABS(E20-E9)</f>
        <v>2.71</v>
      </c>
      <c r="F21" s="39" t="s">
        <v>21</v>
      </c>
      <c r="G21" s="37" t="s">
        <v>195</v>
      </c>
      <c r="H21" s="37"/>
      <c r="I21" s="37"/>
      <c r="J21" s="37"/>
      <c r="K21" s="37"/>
    </row>
    <row r="22" spans="1:11" ht="12" customHeight="1">
      <c r="A22" s="37" t="s">
        <v>180</v>
      </c>
      <c r="B22" s="37"/>
      <c r="C22" s="37"/>
      <c r="D22" s="105" t="s">
        <v>183</v>
      </c>
      <c r="E22" s="109">
        <v>15.04</v>
      </c>
      <c r="F22" s="36" t="s">
        <v>21</v>
      </c>
      <c r="G22" s="37"/>
      <c r="H22" s="37"/>
      <c r="I22" s="37"/>
      <c r="J22" s="37"/>
      <c r="K22" s="37"/>
    </row>
    <row r="23" spans="1:11" ht="12" customHeight="1">
      <c r="A23" s="37" t="s">
        <v>202</v>
      </c>
      <c r="B23" s="37"/>
      <c r="C23" s="37"/>
      <c r="D23" s="105" t="s">
        <v>184</v>
      </c>
      <c r="E23" s="89">
        <v>11.4</v>
      </c>
      <c r="F23" s="36" t="s">
        <v>185</v>
      </c>
      <c r="G23" s="37"/>
      <c r="H23" s="37"/>
      <c r="I23" s="37"/>
      <c r="J23" s="37"/>
      <c r="K23" s="37"/>
    </row>
    <row r="24" spans="1:11" ht="12" customHeight="1">
      <c r="A24" s="37"/>
      <c r="B24" s="37"/>
      <c r="C24" s="37"/>
      <c r="D24" s="105" t="s">
        <v>181</v>
      </c>
      <c r="E24" s="89">
        <f>E20+E22/2</f>
        <v>11.809999999999999</v>
      </c>
      <c r="F24" s="36" t="s">
        <v>21</v>
      </c>
      <c r="G24" s="37" t="s">
        <v>188</v>
      </c>
      <c r="H24" s="37"/>
      <c r="I24" s="37"/>
      <c r="J24" s="37"/>
      <c r="K24" s="37"/>
    </row>
    <row r="25" spans="1:11" s="37" customFormat="1" ht="12" customHeight="1">
      <c r="A25" s="37" t="s">
        <v>187</v>
      </c>
      <c r="B25" s="38"/>
      <c r="C25" s="38"/>
      <c r="D25" s="106" t="s">
        <v>186</v>
      </c>
      <c r="E25" s="107">
        <f>2*PI()/E23</f>
        <v>0.55115660589294613</v>
      </c>
    </row>
    <row r="26" spans="1:11" s="37" customFormat="1" ht="12" customHeight="1">
      <c r="A26" s="37" t="s">
        <v>192</v>
      </c>
      <c r="D26" s="106" t="s">
        <v>191</v>
      </c>
      <c r="E26" s="108">
        <v>54</v>
      </c>
      <c r="F26" s="36" t="s">
        <v>21</v>
      </c>
    </row>
    <row r="27" spans="1:11" s="37" customFormat="1" ht="12" customHeight="1">
      <c r="A27" s="37" t="s">
        <v>199</v>
      </c>
      <c r="D27" s="105" t="s">
        <v>198</v>
      </c>
      <c r="E27" s="111">
        <f>2*PI()/E26</f>
        <v>0.11635528346628864</v>
      </c>
      <c r="F27" s="36"/>
    </row>
    <row r="28" spans="1:11" s="37" customFormat="1" ht="12" customHeight="1">
      <c r="A28" s="37" t="s">
        <v>204</v>
      </c>
      <c r="D28" s="112" t="s">
        <v>203</v>
      </c>
      <c r="E28" s="116">
        <v>0</v>
      </c>
      <c r="F28" s="36" t="s">
        <v>205</v>
      </c>
    </row>
    <row r="29" spans="1:11" s="37" customFormat="1" ht="12" customHeight="1">
      <c r="A29" s="37" t="s">
        <v>236</v>
      </c>
      <c r="D29" s="112" t="s">
        <v>241</v>
      </c>
      <c r="E29" s="116">
        <v>1</v>
      </c>
      <c r="F29" s="36"/>
    </row>
    <row r="30" spans="1:11" s="37" customFormat="1" ht="12" customHeight="1">
      <c r="A30" s="37" t="s">
        <v>237</v>
      </c>
      <c r="D30" s="112" t="s">
        <v>242</v>
      </c>
      <c r="E30" s="116">
        <v>1.35</v>
      </c>
    </row>
    <row r="31" spans="1:11" s="37" customFormat="1" ht="12" customHeight="1">
      <c r="A31" s="117" t="s">
        <v>234</v>
      </c>
      <c r="E31" s="112"/>
    </row>
    <row r="32" spans="1:11" s="37" customFormat="1" ht="12" customHeight="1">
      <c r="A32" s="37" t="s">
        <v>235</v>
      </c>
      <c r="D32" s="104" t="s">
        <v>213</v>
      </c>
      <c r="E32" s="116">
        <v>0</v>
      </c>
      <c r="F32" s="36" t="s">
        <v>21</v>
      </c>
    </row>
    <row r="33" spans="1:12" s="37" customFormat="1" ht="12" customHeight="1">
      <c r="D33" s="105" t="s">
        <v>240</v>
      </c>
      <c r="E33" s="116">
        <f>E32-E9</f>
        <v>-7</v>
      </c>
      <c r="F33" s="36" t="s">
        <v>21</v>
      </c>
    </row>
    <row r="34" spans="1:12" s="37" customFormat="1" ht="12" customHeight="1">
      <c r="D34" s="112" t="s">
        <v>241</v>
      </c>
      <c r="E34" s="116">
        <v>1</v>
      </c>
      <c r="F34" s="36"/>
    </row>
    <row r="35" spans="1:12" s="37" customFormat="1" ht="12" customHeight="1">
      <c r="I35" s="46">
        <v>12</v>
      </c>
    </row>
    <row r="36" spans="1:12" s="37" customFormat="1" ht="12" customHeight="1"/>
    <row r="37" spans="1:12" s="57" customFormat="1" ht="15" customHeight="1">
      <c r="A37" s="31">
        <v>1</v>
      </c>
      <c r="B37" s="61" t="s">
        <v>249</v>
      </c>
      <c r="C37" s="59"/>
      <c r="D37" s="59"/>
      <c r="E37" s="59"/>
      <c r="F37" s="59"/>
      <c r="G37" s="59"/>
      <c r="H37" s="59"/>
      <c r="I37" s="59"/>
      <c r="J37" s="59"/>
      <c r="K37" s="59"/>
      <c r="L37" s="60"/>
    </row>
    <row r="38" spans="1:12" s="57" customFormat="1" ht="15" customHeight="1">
      <c r="A38" s="125" t="s">
        <v>128</v>
      </c>
      <c r="B38" s="126" t="s">
        <v>217</v>
      </c>
      <c r="C38" s="127" t="s">
        <v>229</v>
      </c>
      <c r="D38" s="128" t="s">
        <v>215</v>
      </c>
      <c r="E38" s="126" t="s">
        <v>216</v>
      </c>
      <c r="F38" s="129" t="s">
        <v>222</v>
      </c>
      <c r="G38" s="129" t="s">
        <v>223</v>
      </c>
      <c r="H38" s="129" t="s">
        <v>219</v>
      </c>
      <c r="I38" s="129" t="s">
        <v>220</v>
      </c>
      <c r="J38" s="129" t="s">
        <v>221</v>
      </c>
      <c r="K38" s="129"/>
      <c r="L38" s="130" t="s">
        <v>126</v>
      </c>
    </row>
    <row r="39" spans="1:12" s="57" customFormat="1" ht="15" customHeight="1">
      <c r="A39" s="131">
        <v>355</v>
      </c>
      <c r="B39" s="132">
        <v>1.1000000000000001</v>
      </c>
      <c r="C39" s="133">
        <v>0</v>
      </c>
      <c r="D39" s="134">
        <v>191</v>
      </c>
      <c r="E39" s="135">
        <v>171.24545454545449</v>
      </c>
      <c r="F39" s="132">
        <v>0.75</v>
      </c>
      <c r="G39" s="132">
        <v>7</v>
      </c>
      <c r="H39" s="132">
        <v>1</v>
      </c>
      <c r="I39" s="132">
        <v>1</v>
      </c>
      <c r="J39" s="132">
        <v>1</v>
      </c>
      <c r="K39" s="134"/>
      <c r="L39" s="140">
        <v>5.5720658924548943</v>
      </c>
    </row>
    <row r="40" spans="1:12" s="57" customFormat="1" ht="15" customHeight="1">
      <c r="A40" s="141" t="s">
        <v>230</v>
      </c>
      <c r="B40" s="142"/>
      <c r="C40" s="127"/>
      <c r="D40" s="129"/>
      <c r="E40" s="143"/>
      <c r="F40" s="144"/>
      <c r="G40" s="147" t="s">
        <v>243</v>
      </c>
      <c r="H40" s="142"/>
      <c r="I40" s="144"/>
      <c r="J40" s="120"/>
      <c r="K40" s="47"/>
      <c r="L40" s="58"/>
    </row>
    <row r="41" spans="1:12" s="57" customFormat="1" ht="15" customHeight="1">
      <c r="A41" s="136" t="s">
        <v>233</v>
      </c>
      <c r="B41" s="127"/>
      <c r="C41" s="127"/>
      <c r="D41" s="127" t="s">
        <v>231</v>
      </c>
      <c r="E41" s="127" t="s">
        <v>238</v>
      </c>
      <c r="F41" s="145" t="s">
        <v>224</v>
      </c>
      <c r="G41" s="148" t="s">
        <v>231</v>
      </c>
      <c r="H41" s="127" t="s">
        <v>238</v>
      </c>
      <c r="I41" s="149" t="s">
        <v>228</v>
      </c>
      <c r="J41" s="129" t="s">
        <v>132</v>
      </c>
      <c r="K41" s="129"/>
      <c r="L41" s="130" t="s">
        <v>245</v>
      </c>
    </row>
    <row r="42" spans="1:12" s="57" customFormat="1" ht="15" customHeight="1">
      <c r="A42" s="137" t="s">
        <v>244</v>
      </c>
      <c r="B42" s="133"/>
      <c r="C42" s="133"/>
      <c r="D42" s="138">
        <v>43.137022499999993</v>
      </c>
      <c r="E42" s="139">
        <v>61.966966861816026</v>
      </c>
      <c r="F42" s="146">
        <v>105.10398936181602</v>
      </c>
      <c r="G42" s="150">
        <v>130.58012500000001</v>
      </c>
      <c r="H42" s="134">
        <v>0</v>
      </c>
      <c r="I42" s="151">
        <v>130.58012500000001</v>
      </c>
      <c r="J42" s="135">
        <v>130.58012500000001</v>
      </c>
      <c r="K42" s="132"/>
      <c r="L42" s="140">
        <v>11.347784223428096</v>
      </c>
    </row>
    <row r="43" spans="1:12" s="57" customFormat="1" ht="15" customHeight="1">
      <c r="A43" s="31">
        <v>2</v>
      </c>
      <c r="B43" s="61" t="s">
        <v>248</v>
      </c>
      <c r="C43" s="59"/>
      <c r="D43" s="59"/>
      <c r="E43" s="59"/>
      <c r="F43" s="59"/>
      <c r="G43" s="59"/>
      <c r="H43" s="59"/>
      <c r="I43" s="59"/>
      <c r="J43" s="59"/>
      <c r="K43" s="59"/>
      <c r="L43" s="60"/>
    </row>
    <row r="44" spans="1:12" s="57" customFormat="1" ht="15" customHeight="1">
      <c r="A44" s="125" t="s">
        <v>128</v>
      </c>
      <c r="B44" s="126" t="s">
        <v>217</v>
      </c>
      <c r="C44" s="127" t="s">
        <v>229</v>
      </c>
      <c r="D44" s="128" t="s">
        <v>215</v>
      </c>
      <c r="E44" s="126" t="s">
        <v>216</v>
      </c>
      <c r="F44" s="129" t="s">
        <v>222</v>
      </c>
      <c r="G44" s="129" t="s">
        <v>223</v>
      </c>
      <c r="H44" s="129" t="s">
        <v>219</v>
      </c>
      <c r="I44" s="129" t="s">
        <v>220</v>
      </c>
      <c r="J44" s="129" t="s">
        <v>221</v>
      </c>
      <c r="K44" s="129"/>
      <c r="L44" s="130" t="s">
        <v>126</v>
      </c>
    </row>
    <row r="45" spans="1:12" s="57" customFormat="1" ht="15" customHeight="1">
      <c r="A45" s="131">
        <v>355</v>
      </c>
      <c r="B45" s="132">
        <v>1.1000000000000001</v>
      </c>
      <c r="C45" s="133">
        <v>0</v>
      </c>
      <c r="D45" s="134">
        <v>191</v>
      </c>
      <c r="E45" s="135">
        <v>171.24545454545449</v>
      </c>
      <c r="F45" s="132">
        <v>0.7</v>
      </c>
      <c r="G45" s="132">
        <v>4.2140000000000004</v>
      </c>
      <c r="H45" s="132">
        <v>1</v>
      </c>
      <c r="I45" s="132">
        <v>1</v>
      </c>
      <c r="J45" s="132">
        <v>1</v>
      </c>
      <c r="K45" s="134"/>
      <c r="L45" s="140">
        <v>5.5720658924548943</v>
      </c>
    </row>
    <row r="46" spans="1:12" s="57" customFormat="1" ht="15" customHeight="1">
      <c r="A46" s="141" t="s">
        <v>230</v>
      </c>
      <c r="B46" s="142"/>
      <c r="C46" s="127"/>
      <c r="D46" s="129"/>
      <c r="E46" s="143"/>
      <c r="F46" s="144"/>
      <c r="G46" s="147" t="s">
        <v>243</v>
      </c>
      <c r="H46" s="142"/>
      <c r="I46" s="144"/>
      <c r="J46" s="120"/>
      <c r="K46" s="47"/>
      <c r="L46" s="58"/>
    </row>
    <row r="47" spans="1:12" s="57" customFormat="1" ht="15" customHeight="1">
      <c r="A47" s="136" t="s">
        <v>233</v>
      </c>
      <c r="B47" s="127"/>
      <c r="C47" s="127"/>
      <c r="D47" s="127" t="s">
        <v>231</v>
      </c>
      <c r="E47" s="127" t="s">
        <v>238</v>
      </c>
      <c r="F47" s="145" t="s">
        <v>224</v>
      </c>
      <c r="G47" s="148" t="s">
        <v>231</v>
      </c>
      <c r="H47" s="127" t="s">
        <v>238</v>
      </c>
      <c r="I47" s="149" t="s">
        <v>228</v>
      </c>
      <c r="J47" s="129" t="s">
        <v>132</v>
      </c>
      <c r="K47" s="129"/>
      <c r="L47" s="130" t="s">
        <v>245</v>
      </c>
    </row>
    <row r="48" spans="1:12" s="57" customFormat="1" ht="15" customHeight="1">
      <c r="A48" s="137" t="s">
        <v>239</v>
      </c>
      <c r="B48" s="133"/>
      <c r="C48" s="133"/>
      <c r="D48" s="138">
        <v>43.137022499999993</v>
      </c>
      <c r="E48" s="139">
        <v>61.966966861816026</v>
      </c>
      <c r="F48" s="146">
        <v>105.10398936181602</v>
      </c>
      <c r="G48" s="150">
        <v>130.58012500000001</v>
      </c>
      <c r="H48" s="134">
        <v>0</v>
      </c>
      <c r="I48" s="151">
        <v>130.58012500000001</v>
      </c>
      <c r="J48" s="135">
        <v>130.58012500000001</v>
      </c>
      <c r="K48" s="132"/>
      <c r="L48" s="140">
        <v>10.657931941866222</v>
      </c>
    </row>
    <row r="49" spans="1:12" s="57" customFormat="1" ht="15" customHeight="1">
      <c r="A49" s="31">
        <v>3</v>
      </c>
      <c r="B49" s="61" t="s">
        <v>250</v>
      </c>
      <c r="C49" s="59"/>
      <c r="D49" s="59"/>
      <c r="E49" s="59"/>
      <c r="F49" s="59"/>
      <c r="G49" s="59"/>
      <c r="H49" s="59"/>
      <c r="I49" s="59"/>
      <c r="J49" s="59"/>
      <c r="K49" s="59"/>
      <c r="L49" s="60"/>
    </row>
    <row r="50" spans="1:12" s="57" customFormat="1" ht="15" customHeight="1">
      <c r="A50" s="125" t="s">
        <v>128</v>
      </c>
      <c r="B50" s="126" t="s">
        <v>217</v>
      </c>
      <c r="C50" s="127" t="s">
        <v>229</v>
      </c>
      <c r="D50" s="128" t="s">
        <v>215</v>
      </c>
      <c r="E50" s="126" t="s">
        <v>216</v>
      </c>
      <c r="F50" s="129" t="s">
        <v>222</v>
      </c>
      <c r="G50" s="129" t="s">
        <v>223</v>
      </c>
      <c r="H50" s="129" t="s">
        <v>219</v>
      </c>
      <c r="I50" s="129" t="s">
        <v>220</v>
      </c>
      <c r="J50" s="129" t="s">
        <v>221</v>
      </c>
      <c r="K50" s="129"/>
      <c r="L50" s="130" t="s">
        <v>126</v>
      </c>
    </row>
    <row r="51" spans="1:12" ht="15" customHeight="1">
      <c r="A51" s="131">
        <v>355</v>
      </c>
      <c r="B51" s="132">
        <v>1.1000000000000001</v>
      </c>
      <c r="C51" s="133">
        <v>2.9</v>
      </c>
      <c r="D51" s="134">
        <v>85.6</v>
      </c>
      <c r="E51" s="135">
        <v>308.26545454545453</v>
      </c>
      <c r="F51" s="132">
        <v>0.7</v>
      </c>
      <c r="G51" s="132">
        <v>4.2140000000000004</v>
      </c>
      <c r="H51" s="132">
        <v>1</v>
      </c>
      <c r="I51" s="132">
        <v>1</v>
      </c>
      <c r="J51" s="132">
        <v>1</v>
      </c>
      <c r="K51" s="134"/>
      <c r="L51" s="140">
        <v>5.5720658924548943</v>
      </c>
    </row>
    <row r="52" spans="1:12" ht="15" customHeight="1">
      <c r="A52" s="141" t="s">
        <v>230</v>
      </c>
      <c r="B52" s="142"/>
      <c r="C52" s="127"/>
      <c r="D52" s="129"/>
      <c r="E52" s="143"/>
      <c r="F52" s="144"/>
      <c r="G52" s="147" t="s">
        <v>243</v>
      </c>
      <c r="H52" s="142"/>
      <c r="I52" s="144"/>
      <c r="J52" s="120"/>
      <c r="K52" s="47"/>
      <c r="L52" s="58"/>
    </row>
    <row r="53" spans="1:12" ht="15" customHeight="1">
      <c r="A53" s="136" t="s">
        <v>233</v>
      </c>
      <c r="B53" s="127"/>
      <c r="C53" s="127"/>
      <c r="D53" s="127" t="s">
        <v>231</v>
      </c>
      <c r="E53" s="127" t="s">
        <v>238</v>
      </c>
      <c r="F53" s="145" t="s">
        <v>224</v>
      </c>
      <c r="G53" s="148" t="s">
        <v>231</v>
      </c>
      <c r="H53" s="127" t="s">
        <v>238</v>
      </c>
      <c r="I53" s="149" t="s">
        <v>228</v>
      </c>
      <c r="J53" s="129" t="s">
        <v>132</v>
      </c>
      <c r="K53" s="129"/>
      <c r="L53" s="130" t="s">
        <v>245</v>
      </c>
    </row>
    <row r="54" spans="1:12" ht="15" customHeight="1">
      <c r="A54" s="137" t="s">
        <v>246</v>
      </c>
      <c r="B54" s="133"/>
      <c r="C54" s="133"/>
      <c r="D54" s="138">
        <v>13.9767975</v>
      </c>
      <c r="E54" s="139">
        <v>86.836910943515008</v>
      </c>
      <c r="F54" s="146">
        <v>100.81370844351501</v>
      </c>
      <c r="G54" s="150">
        <v>101.41989999999998</v>
      </c>
      <c r="H54" s="134">
        <v>0</v>
      </c>
      <c r="I54" s="151">
        <v>101.41989999999998</v>
      </c>
      <c r="J54" s="135">
        <v>101.41989999999998</v>
      </c>
      <c r="K54" s="132"/>
      <c r="L54" s="140">
        <v>7.3438701735973515</v>
      </c>
    </row>
    <row r="55" spans="1:12" ht="15" customHeight="1">
      <c r="A55" s="31">
        <v>4</v>
      </c>
      <c r="B55" s="61" t="s">
        <v>251</v>
      </c>
      <c r="C55" s="59"/>
      <c r="D55" s="59"/>
      <c r="E55" s="59"/>
      <c r="F55" s="59"/>
      <c r="G55" s="59"/>
      <c r="H55" s="59"/>
      <c r="I55" s="59"/>
      <c r="J55" s="59"/>
      <c r="K55" s="59"/>
      <c r="L55" s="60"/>
    </row>
    <row r="56" spans="1:12" ht="15" customHeight="1">
      <c r="A56" s="125" t="s">
        <v>128</v>
      </c>
      <c r="B56" s="126" t="s">
        <v>217</v>
      </c>
      <c r="C56" s="127" t="s">
        <v>229</v>
      </c>
      <c r="D56" s="128" t="s">
        <v>215</v>
      </c>
      <c r="E56" s="126" t="s">
        <v>216</v>
      </c>
      <c r="F56" s="129" t="s">
        <v>222</v>
      </c>
      <c r="G56" s="129" t="s">
        <v>223</v>
      </c>
      <c r="H56" s="129" t="s">
        <v>219</v>
      </c>
      <c r="I56" s="129" t="s">
        <v>220</v>
      </c>
      <c r="J56" s="129" t="s">
        <v>221</v>
      </c>
      <c r="K56" s="129"/>
      <c r="L56" s="130" t="s">
        <v>126</v>
      </c>
    </row>
    <row r="57" spans="1:12" ht="15" customHeight="1">
      <c r="A57" s="131">
        <v>355</v>
      </c>
      <c r="B57" s="132">
        <v>1.1000000000000001</v>
      </c>
      <c r="C57" s="133">
        <v>5.8</v>
      </c>
      <c r="D57" s="134">
        <v>191</v>
      </c>
      <c r="E57" s="135">
        <v>171.24545454545449</v>
      </c>
      <c r="F57" s="132">
        <v>0.7</v>
      </c>
      <c r="G57" s="132">
        <v>4.2140000000000004</v>
      </c>
      <c r="H57" s="132">
        <v>1</v>
      </c>
      <c r="I57" s="132">
        <v>1</v>
      </c>
      <c r="J57" s="132">
        <v>1</v>
      </c>
      <c r="K57" s="134"/>
      <c r="L57" s="140">
        <v>5.5720658924548943</v>
      </c>
    </row>
    <row r="58" spans="1:12" ht="15" customHeight="1">
      <c r="A58" s="141" t="s">
        <v>230</v>
      </c>
      <c r="B58" s="142"/>
      <c r="C58" s="127"/>
      <c r="D58" s="129"/>
      <c r="E58" s="143"/>
      <c r="F58" s="144"/>
      <c r="G58" s="147" t="s">
        <v>243</v>
      </c>
      <c r="H58" s="142"/>
      <c r="I58" s="144"/>
      <c r="J58" s="120"/>
      <c r="K58" s="47"/>
      <c r="L58" s="58"/>
    </row>
    <row r="59" spans="1:12" ht="15" customHeight="1">
      <c r="A59" s="136" t="s">
        <v>233</v>
      </c>
      <c r="B59" s="127"/>
      <c r="C59" s="127"/>
      <c r="D59" s="127" t="s">
        <v>231</v>
      </c>
      <c r="E59" s="127" t="s">
        <v>238</v>
      </c>
      <c r="F59" s="145" t="s">
        <v>224</v>
      </c>
      <c r="G59" s="148" t="s">
        <v>231</v>
      </c>
      <c r="H59" s="127" t="s">
        <v>238</v>
      </c>
      <c r="I59" s="149" t="s">
        <v>228</v>
      </c>
      <c r="J59" s="129" t="s">
        <v>132</v>
      </c>
      <c r="K59" s="129"/>
      <c r="L59" s="130" t="s">
        <v>245</v>
      </c>
    </row>
    <row r="60" spans="1:12" ht="15" customHeight="1">
      <c r="A60" s="137" t="s">
        <v>247</v>
      </c>
      <c r="B60" s="133"/>
      <c r="C60" s="133"/>
      <c r="D60" s="138">
        <v>0</v>
      </c>
      <c r="E60" s="139">
        <v>81.583270874999982</v>
      </c>
      <c r="F60" s="146">
        <v>81.583270874999982</v>
      </c>
      <c r="G60" s="150">
        <v>72.259674999999987</v>
      </c>
      <c r="H60" s="134">
        <v>0</v>
      </c>
      <c r="I60" s="151">
        <v>72.259674999999987</v>
      </c>
      <c r="J60" s="135">
        <v>81.583270874999982</v>
      </c>
      <c r="K60" s="132"/>
      <c r="L60" s="140">
        <v>8.6338945626591972</v>
      </c>
    </row>
    <row r="61" spans="1:12" ht="15" customHeight="1">
      <c r="A61" s="31">
        <v>5</v>
      </c>
      <c r="B61" s="61" t="s">
        <v>252</v>
      </c>
      <c r="C61" s="59"/>
      <c r="D61" s="59"/>
      <c r="E61" s="59"/>
      <c r="F61" s="59"/>
      <c r="G61" s="59"/>
      <c r="H61" s="59"/>
      <c r="I61" s="59"/>
      <c r="J61" s="59"/>
      <c r="K61" s="59"/>
      <c r="L61" s="60"/>
    </row>
    <row r="62" spans="1:12" ht="15" customHeight="1">
      <c r="A62" s="125" t="s">
        <v>128</v>
      </c>
      <c r="B62" s="126" t="s">
        <v>217</v>
      </c>
      <c r="C62" s="127" t="s">
        <v>229</v>
      </c>
      <c r="D62" s="128" t="s">
        <v>215</v>
      </c>
      <c r="E62" s="126" t="s">
        <v>216</v>
      </c>
      <c r="F62" s="129" t="s">
        <v>222</v>
      </c>
      <c r="G62" s="129" t="s">
        <v>223</v>
      </c>
      <c r="H62" s="129" t="s">
        <v>219</v>
      </c>
      <c r="I62" s="129" t="s">
        <v>220</v>
      </c>
      <c r="J62" s="129" t="s">
        <v>221</v>
      </c>
      <c r="K62" s="129"/>
      <c r="L62" s="130" t="s">
        <v>126</v>
      </c>
    </row>
    <row r="63" spans="1:12" ht="15" customHeight="1">
      <c r="A63" s="131">
        <v>355</v>
      </c>
      <c r="B63" s="132">
        <v>1.1000000000000001</v>
      </c>
      <c r="C63" s="133">
        <v>10.5</v>
      </c>
      <c r="D63" s="134">
        <v>191</v>
      </c>
      <c r="E63" s="135">
        <v>171.24545454545449</v>
      </c>
      <c r="F63" s="132">
        <v>0.75</v>
      </c>
      <c r="G63" s="132">
        <v>4.2140000000000004</v>
      </c>
      <c r="H63" s="132">
        <v>1</v>
      </c>
      <c r="I63" s="132">
        <v>1</v>
      </c>
      <c r="J63" s="132">
        <v>1</v>
      </c>
      <c r="K63" s="134"/>
      <c r="L63" s="140">
        <v>5.5720658924548943</v>
      </c>
    </row>
    <row r="64" spans="1:12" ht="15" customHeight="1">
      <c r="A64" s="141" t="s">
        <v>230</v>
      </c>
      <c r="B64" s="142"/>
      <c r="C64" s="127"/>
      <c r="D64" s="129"/>
      <c r="E64" s="143"/>
      <c r="F64" s="144"/>
      <c r="G64" s="147" t="s">
        <v>243</v>
      </c>
      <c r="H64" s="142"/>
      <c r="I64" s="144"/>
      <c r="J64" s="120"/>
      <c r="K64" s="47"/>
      <c r="L64" s="58"/>
    </row>
    <row r="65" spans="1:12" ht="15" customHeight="1">
      <c r="A65" s="136" t="s">
        <v>233</v>
      </c>
      <c r="B65" s="127"/>
      <c r="C65" s="127"/>
      <c r="D65" s="127" t="s">
        <v>231</v>
      </c>
      <c r="E65" s="127" t="s">
        <v>238</v>
      </c>
      <c r="F65" s="145" t="s">
        <v>224</v>
      </c>
      <c r="G65" s="148" t="s">
        <v>231</v>
      </c>
      <c r="H65" s="127" t="s">
        <v>238</v>
      </c>
      <c r="I65" s="149" t="s">
        <v>228</v>
      </c>
      <c r="J65" s="129" t="s">
        <v>132</v>
      </c>
      <c r="K65" s="129"/>
      <c r="L65" s="130" t="s">
        <v>245</v>
      </c>
    </row>
    <row r="66" spans="1:12" ht="15" customHeight="1">
      <c r="A66" s="137" t="s">
        <v>253</v>
      </c>
      <c r="B66" s="133"/>
      <c r="C66" s="133"/>
      <c r="D66" s="138">
        <v>0</v>
      </c>
      <c r="E66" s="139">
        <v>17.782709624999981</v>
      </c>
      <c r="F66" s="146">
        <v>17.782709624999981</v>
      </c>
      <c r="G66" s="150">
        <v>25</v>
      </c>
      <c r="H66" s="134">
        <v>0</v>
      </c>
      <c r="I66" s="151">
        <v>25</v>
      </c>
      <c r="J66" s="135">
        <v>25</v>
      </c>
      <c r="K66" s="132"/>
      <c r="L66" s="140">
        <v>6.5720658924548943</v>
      </c>
    </row>
    <row r="67" spans="1:12" ht="15" customHeight="1">
      <c r="A67" s="31">
        <v>6</v>
      </c>
      <c r="B67" s="61" t="s">
        <v>254</v>
      </c>
      <c r="C67" s="59"/>
      <c r="D67" s="59"/>
      <c r="E67" s="59"/>
      <c r="F67" s="59"/>
      <c r="G67" s="59"/>
      <c r="H67" s="59"/>
      <c r="I67" s="59"/>
      <c r="J67" s="59"/>
      <c r="K67" s="59"/>
      <c r="L67" s="60"/>
    </row>
    <row r="68" spans="1:12" ht="15" customHeight="1">
      <c r="A68" s="125" t="s">
        <v>128</v>
      </c>
      <c r="B68" s="126" t="s">
        <v>217</v>
      </c>
      <c r="C68" s="127" t="s">
        <v>229</v>
      </c>
      <c r="D68" s="128" t="s">
        <v>215</v>
      </c>
      <c r="E68" s="126" t="s">
        <v>216</v>
      </c>
      <c r="F68" s="129" t="s">
        <v>222</v>
      </c>
      <c r="G68" s="129" t="s">
        <v>223</v>
      </c>
      <c r="H68" s="129" t="s">
        <v>219</v>
      </c>
      <c r="I68" s="129" t="s">
        <v>220</v>
      </c>
      <c r="J68" s="129" t="s">
        <v>221</v>
      </c>
      <c r="K68" s="129"/>
      <c r="L68" s="130" t="s">
        <v>126</v>
      </c>
    </row>
    <row r="69" spans="1:12" ht="15" customHeight="1">
      <c r="A69" s="131">
        <v>355</v>
      </c>
      <c r="B69" s="132">
        <v>1.1000000000000001</v>
      </c>
      <c r="C69" s="133">
        <v>7</v>
      </c>
      <c r="D69" s="134">
        <v>127</v>
      </c>
      <c r="E69" s="135">
        <v>254.44545454545451</v>
      </c>
      <c r="F69" s="132">
        <v>0.75</v>
      </c>
      <c r="G69" s="132">
        <v>4</v>
      </c>
      <c r="H69" s="132">
        <v>1</v>
      </c>
      <c r="I69" s="132">
        <v>1</v>
      </c>
      <c r="J69" s="132">
        <v>1</v>
      </c>
      <c r="K69" s="134"/>
      <c r="L69" s="140">
        <v>5.5720658924548943</v>
      </c>
    </row>
    <row r="70" spans="1:12" ht="15" customHeight="1">
      <c r="A70" s="141" t="s">
        <v>230</v>
      </c>
      <c r="B70" s="142"/>
      <c r="C70" s="127"/>
      <c r="D70" s="129"/>
      <c r="E70" s="143"/>
      <c r="F70" s="144"/>
      <c r="G70" s="147" t="s">
        <v>243</v>
      </c>
      <c r="H70" s="142"/>
      <c r="I70" s="144"/>
      <c r="J70" s="120"/>
      <c r="K70" s="47"/>
      <c r="L70" s="58"/>
    </row>
    <row r="71" spans="1:12" ht="15" customHeight="1">
      <c r="A71" s="136" t="s">
        <v>233</v>
      </c>
      <c r="B71" s="127"/>
      <c r="C71" s="127"/>
      <c r="D71" s="127" t="s">
        <v>231</v>
      </c>
      <c r="E71" s="127" t="s">
        <v>238</v>
      </c>
      <c r="F71" s="145" t="s">
        <v>224</v>
      </c>
      <c r="G71" s="148" t="s">
        <v>231</v>
      </c>
      <c r="H71" s="127" t="s">
        <v>238</v>
      </c>
      <c r="I71" s="149" t="s">
        <v>228</v>
      </c>
      <c r="J71" s="129" t="s">
        <v>132</v>
      </c>
      <c r="K71" s="129"/>
      <c r="L71" s="130" t="s">
        <v>245</v>
      </c>
    </row>
    <row r="72" spans="1:12" ht="15" customHeight="1">
      <c r="A72" s="137" t="s">
        <v>255</v>
      </c>
      <c r="B72" s="133"/>
      <c r="C72" s="133"/>
      <c r="D72" s="138">
        <v>0</v>
      </c>
      <c r="E72" s="139">
        <v>65.293765874999991</v>
      </c>
      <c r="F72" s="146">
        <v>65.293765874999991</v>
      </c>
      <c r="G72" s="150">
        <v>60.193374999999996</v>
      </c>
      <c r="H72" s="134">
        <v>0</v>
      </c>
      <c r="I72" s="151">
        <v>60.193374999999996</v>
      </c>
      <c r="J72" s="135">
        <v>65.293765874999991</v>
      </c>
      <c r="K72" s="132"/>
      <c r="L72" s="140">
        <v>7.0028412837538214</v>
      </c>
    </row>
    <row r="73" spans="1:12" ht="15" customHeight="1">
      <c r="A73" s="31">
        <v>7</v>
      </c>
      <c r="B73" s="61" t="s">
        <v>256</v>
      </c>
      <c r="C73" s="59"/>
      <c r="D73" s="59"/>
      <c r="E73" s="59"/>
      <c r="F73" s="59"/>
      <c r="G73" s="59"/>
      <c r="H73" s="59"/>
      <c r="I73" s="59"/>
      <c r="J73" s="59"/>
      <c r="K73" s="59"/>
      <c r="L73" s="60"/>
    </row>
    <row r="74" spans="1:12" ht="15" customHeight="1">
      <c r="A74" s="125" t="s">
        <v>128</v>
      </c>
      <c r="B74" s="126" t="s">
        <v>217</v>
      </c>
      <c r="C74" s="127" t="s">
        <v>229</v>
      </c>
      <c r="D74" s="128" t="s">
        <v>215</v>
      </c>
      <c r="E74" s="126" t="s">
        <v>216</v>
      </c>
      <c r="F74" s="129" t="s">
        <v>222</v>
      </c>
      <c r="G74" s="129" t="s">
        <v>223</v>
      </c>
      <c r="H74" s="129" t="s">
        <v>219</v>
      </c>
      <c r="I74" s="129" t="s">
        <v>220</v>
      </c>
      <c r="J74" s="129" t="s">
        <v>221</v>
      </c>
      <c r="K74" s="129"/>
      <c r="L74" s="130" t="s">
        <v>126</v>
      </c>
    </row>
    <row r="75" spans="1:12" ht="15" customHeight="1">
      <c r="A75" s="131">
        <v>355</v>
      </c>
      <c r="B75" s="132">
        <v>1.1000000000000001</v>
      </c>
      <c r="C75" s="133">
        <v>0</v>
      </c>
      <c r="D75" s="134">
        <v>191</v>
      </c>
      <c r="E75" s="135">
        <v>171.24545454545449</v>
      </c>
      <c r="F75" s="132">
        <v>0.75</v>
      </c>
      <c r="G75" s="132">
        <v>4</v>
      </c>
      <c r="H75" s="132">
        <v>1</v>
      </c>
      <c r="I75" s="132">
        <v>1</v>
      </c>
      <c r="J75" s="132">
        <v>1</v>
      </c>
      <c r="K75" s="134"/>
      <c r="L75" s="140">
        <v>5.5720658924548943</v>
      </c>
    </row>
    <row r="76" spans="1:12" ht="15" customHeight="1">
      <c r="A76" s="141" t="s">
        <v>230</v>
      </c>
      <c r="B76" s="142"/>
      <c r="C76" s="127"/>
      <c r="D76" s="129"/>
      <c r="E76" s="143"/>
      <c r="F76" s="144"/>
      <c r="G76" s="147" t="s">
        <v>243</v>
      </c>
      <c r="H76" s="142"/>
      <c r="I76" s="144"/>
      <c r="J76" s="120"/>
      <c r="K76" s="47"/>
      <c r="L76" s="58"/>
    </row>
    <row r="77" spans="1:12" ht="15" customHeight="1">
      <c r="A77" s="136" t="s">
        <v>233</v>
      </c>
      <c r="B77" s="127"/>
      <c r="C77" s="127"/>
      <c r="D77" s="127" t="s">
        <v>231</v>
      </c>
      <c r="E77" s="127" t="s">
        <v>238</v>
      </c>
      <c r="F77" s="145" t="s">
        <v>224</v>
      </c>
      <c r="G77" s="148" t="s">
        <v>231</v>
      </c>
      <c r="H77" s="127" t="s">
        <v>238</v>
      </c>
      <c r="I77" s="149" t="s">
        <v>228</v>
      </c>
      <c r="J77" s="129" t="s">
        <v>132</v>
      </c>
      <c r="K77" s="129"/>
      <c r="L77" s="130" t="s">
        <v>245</v>
      </c>
    </row>
    <row r="78" spans="1:12" ht="15" customHeight="1">
      <c r="A78" s="137" t="s">
        <v>239</v>
      </c>
      <c r="B78" s="133"/>
      <c r="C78" s="133"/>
      <c r="D78" s="138">
        <v>43.137022499999993</v>
      </c>
      <c r="E78" s="139">
        <v>61.966966861816026</v>
      </c>
      <c r="F78" s="146">
        <v>105.10398936181602</v>
      </c>
      <c r="G78" s="150">
        <v>0</v>
      </c>
      <c r="H78" s="134">
        <v>0</v>
      </c>
      <c r="I78" s="151">
        <v>0</v>
      </c>
      <c r="J78" s="135">
        <v>105.10398936181602</v>
      </c>
      <c r="K78" s="132"/>
      <c r="L78" s="140">
        <v>10.283642848058932</v>
      </c>
    </row>
    <row r="79" spans="1:12" ht="15" customHeight="1">
      <c r="A79" s="31">
        <v>8</v>
      </c>
      <c r="B79" s="61" t="s">
        <v>257</v>
      </c>
      <c r="C79" s="59"/>
      <c r="D79" s="59"/>
      <c r="E79" s="59"/>
      <c r="F79" s="59"/>
      <c r="G79" s="59"/>
      <c r="H79" s="59"/>
      <c r="I79" s="59"/>
      <c r="J79" s="59"/>
      <c r="K79" s="59"/>
      <c r="L79" s="60"/>
    </row>
    <row r="80" spans="1:12" ht="15" customHeight="1">
      <c r="A80" s="125" t="s">
        <v>128</v>
      </c>
      <c r="B80" s="126" t="s">
        <v>217</v>
      </c>
      <c r="C80" s="127" t="s">
        <v>229</v>
      </c>
      <c r="D80" s="128" t="s">
        <v>215</v>
      </c>
      <c r="E80" s="126" t="s">
        <v>216</v>
      </c>
      <c r="F80" s="129" t="s">
        <v>222</v>
      </c>
      <c r="G80" s="129" t="s">
        <v>223</v>
      </c>
      <c r="H80" s="129" t="s">
        <v>219</v>
      </c>
      <c r="I80" s="129" t="s">
        <v>220</v>
      </c>
      <c r="J80" s="129" t="s">
        <v>221</v>
      </c>
      <c r="K80" s="129"/>
      <c r="L80" s="130" t="s">
        <v>126</v>
      </c>
    </row>
    <row r="81" spans="1:12" ht="15" customHeight="1">
      <c r="A81" s="131">
        <v>355</v>
      </c>
      <c r="B81" s="132">
        <v>1.1000000000000001</v>
      </c>
      <c r="C81" s="133">
        <v>0</v>
      </c>
      <c r="D81" s="134">
        <v>191</v>
      </c>
      <c r="E81" s="135">
        <v>171.24545454545449</v>
      </c>
      <c r="F81" s="132">
        <v>0.7</v>
      </c>
      <c r="G81" s="132">
        <v>4</v>
      </c>
      <c r="H81" s="132">
        <v>1</v>
      </c>
      <c r="I81" s="132">
        <v>1</v>
      </c>
      <c r="J81" s="132">
        <v>1</v>
      </c>
      <c r="K81" s="134"/>
      <c r="L81" s="140">
        <v>5.5720658924548943</v>
      </c>
    </row>
    <row r="82" spans="1:12" ht="15" customHeight="1">
      <c r="A82" s="141" t="s">
        <v>230</v>
      </c>
      <c r="B82" s="142"/>
      <c r="C82" s="127"/>
      <c r="D82" s="129"/>
      <c r="E82" s="143"/>
      <c r="F82" s="144"/>
      <c r="G82" s="147" t="s">
        <v>243</v>
      </c>
      <c r="H82" s="142"/>
      <c r="I82" s="144"/>
      <c r="J82" s="120"/>
      <c r="K82" s="47"/>
      <c r="L82" s="58"/>
    </row>
    <row r="83" spans="1:12" ht="15" customHeight="1">
      <c r="A83" s="136" t="s">
        <v>233</v>
      </c>
      <c r="B83" s="127"/>
      <c r="C83" s="127"/>
      <c r="D83" s="127" t="s">
        <v>231</v>
      </c>
      <c r="E83" s="127" t="s">
        <v>238</v>
      </c>
      <c r="F83" s="145" t="s">
        <v>224</v>
      </c>
      <c r="G83" s="148" t="s">
        <v>231</v>
      </c>
      <c r="H83" s="127" t="s">
        <v>238</v>
      </c>
      <c r="I83" s="149" t="s">
        <v>228</v>
      </c>
      <c r="J83" s="129" t="s">
        <v>132</v>
      </c>
      <c r="K83" s="129"/>
      <c r="L83" s="130" t="s">
        <v>245</v>
      </c>
    </row>
    <row r="84" spans="1:12" ht="15" customHeight="1">
      <c r="A84" s="137" t="s">
        <v>239</v>
      </c>
      <c r="B84" s="133"/>
      <c r="C84" s="133"/>
      <c r="D84" s="138">
        <v>43.137022499999993</v>
      </c>
      <c r="E84" s="139">
        <v>61.966966861816026</v>
      </c>
      <c r="F84" s="146">
        <v>105.10398936181602</v>
      </c>
      <c r="G84" s="150">
        <v>0</v>
      </c>
      <c r="H84" s="134">
        <v>0</v>
      </c>
      <c r="I84" s="151">
        <v>0</v>
      </c>
      <c r="J84" s="135">
        <v>105.10398936181602</v>
      </c>
      <c r="K84" s="132"/>
      <c r="L84" s="140">
        <v>9.6647333248550016</v>
      </c>
    </row>
    <row r="85" spans="1:12" ht="15" customHeight="1">
      <c r="A85" s="31">
        <v>9</v>
      </c>
      <c r="B85" s="61" t="s">
        <v>258</v>
      </c>
      <c r="C85" s="59"/>
      <c r="D85" s="59"/>
      <c r="E85" s="59"/>
      <c r="F85" s="59"/>
      <c r="G85" s="59"/>
      <c r="H85" s="59"/>
      <c r="I85" s="59"/>
      <c r="J85" s="59"/>
      <c r="K85" s="59"/>
      <c r="L85" s="60"/>
    </row>
    <row r="86" spans="1:12" ht="15" customHeight="1">
      <c r="A86" s="125" t="s">
        <v>128</v>
      </c>
      <c r="B86" s="126" t="s">
        <v>217</v>
      </c>
      <c r="C86" s="127" t="s">
        <v>229</v>
      </c>
      <c r="D86" s="128" t="s">
        <v>215</v>
      </c>
      <c r="E86" s="126" t="s">
        <v>216</v>
      </c>
      <c r="F86" s="129" t="s">
        <v>222</v>
      </c>
      <c r="G86" s="129" t="s">
        <v>223</v>
      </c>
      <c r="H86" s="129" t="s">
        <v>219</v>
      </c>
      <c r="I86" s="129" t="s">
        <v>220</v>
      </c>
      <c r="J86" s="129" t="s">
        <v>221</v>
      </c>
      <c r="K86" s="129"/>
      <c r="L86" s="130" t="s">
        <v>126</v>
      </c>
    </row>
    <row r="87" spans="1:12" ht="15" customHeight="1">
      <c r="A87" s="131">
        <v>355</v>
      </c>
      <c r="B87" s="132">
        <v>1.1000000000000001</v>
      </c>
      <c r="C87" s="133">
        <v>2.9</v>
      </c>
      <c r="D87" s="134">
        <v>85.6</v>
      </c>
      <c r="E87" s="135">
        <v>308.26545454545453</v>
      </c>
      <c r="F87" s="132">
        <v>0.7</v>
      </c>
      <c r="G87" s="132">
        <v>4</v>
      </c>
      <c r="H87" s="132">
        <v>1</v>
      </c>
      <c r="I87" s="132">
        <v>1</v>
      </c>
      <c r="J87" s="132">
        <v>1</v>
      </c>
      <c r="K87" s="134"/>
      <c r="L87" s="140">
        <v>5.5720658924548943</v>
      </c>
    </row>
    <row r="88" spans="1:12" ht="15" customHeight="1">
      <c r="A88" s="141" t="s">
        <v>230</v>
      </c>
      <c r="B88" s="142"/>
      <c r="C88" s="127"/>
      <c r="D88" s="129"/>
      <c r="E88" s="143"/>
      <c r="F88" s="144"/>
      <c r="G88" s="147" t="s">
        <v>243</v>
      </c>
      <c r="H88" s="142"/>
      <c r="I88" s="144"/>
      <c r="J88" s="120"/>
      <c r="K88" s="47"/>
      <c r="L88" s="58"/>
    </row>
    <row r="89" spans="1:12" ht="15" customHeight="1">
      <c r="A89" s="136" t="s">
        <v>233</v>
      </c>
      <c r="B89" s="127"/>
      <c r="C89" s="127"/>
      <c r="D89" s="127" t="s">
        <v>231</v>
      </c>
      <c r="E89" s="127" t="s">
        <v>238</v>
      </c>
      <c r="F89" s="145" t="s">
        <v>224</v>
      </c>
      <c r="G89" s="148" t="s">
        <v>231</v>
      </c>
      <c r="H89" s="127" t="s">
        <v>238</v>
      </c>
      <c r="I89" s="149" t="s">
        <v>228</v>
      </c>
      <c r="J89" s="129" t="s">
        <v>132</v>
      </c>
      <c r="K89" s="129"/>
      <c r="L89" s="130" t="s">
        <v>245</v>
      </c>
    </row>
    <row r="90" spans="1:12" ht="15" customHeight="1">
      <c r="A90" s="137" t="s">
        <v>246</v>
      </c>
      <c r="B90" s="133"/>
      <c r="C90" s="133"/>
      <c r="D90" s="138">
        <v>13.9767975</v>
      </c>
      <c r="E90" s="139">
        <v>86.836910943515008</v>
      </c>
      <c r="F90" s="146">
        <v>100.81370844351501</v>
      </c>
      <c r="G90" s="150">
        <v>0</v>
      </c>
      <c r="H90" s="134">
        <v>0</v>
      </c>
      <c r="I90" s="151">
        <v>0</v>
      </c>
      <c r="J90" s="135">
        <v>100.81370844351501</v>
      </c>
      <c r="K90" s="132"/>
      <c r="L90" s="140">
        <v>7.3248829526161403</v>
      </c>
    </row>
    <row r="91" spans="1:12" ht="15" customHeight="1">
      <c r="A91" s="31">
        <v>10</v>
      </c>
      <c r="B91" s="61" t="s">
        <v>259</v>
      </c>
      <c r="C91" s="59"/>
      <c r="D91" s="59"/>
      <c r="E91" s="59"/>
      <c r="F91" s="59"/>
      <c r="G91" s="59"/>
      <c r="H91" s="59"/>
      <c r="I91" s="59"/>
      <c r="J91" s="59"/>
      <c r="K91" s="59"/>
      <c r="L91" s="60"/>
    </row>
    <row r="92" spans="1:12" ht="15" customHeight="1">
      <c r="A92" s="125" t="s">
        <v>128</v>
      </c>
      <c r="B92" s="126" t="s">
        <v>217</v>
      </c>
      <c r="C92" s="127" t="s">
        <v>229</v>
      </c>
      <c r="D92" s="128" t="s">
        <v>215</v>
      </c>
      <c r="E92" s="126" t="s">
        <v>216</v>
      </c>
      <c r="F92" s="129" t="s">
        <v>222</v>
      </c>
      <c r="G92" s="129" t="s">
        <v>223</v>
      </c>
      <c r="H92" s="129" t="s">
        <v>219</v>
      </c>
      <c r="I92" s="129" t="s">
        <v>220</v>
      </c>
      <c r="J92" s="129" t="s">
        <v>221</v>
      </c>
      <c r="K92" s="129"/>
      <c r="L92" s="130" t="s">
        <v>126</v>
      </c>
    </row>
    <row r="93" spans="1:12" ht="15" customHeight="1">
      <c r="A93" s="131">
        <v>355</v>
      </c>
      <c r="B93" s="132">
        <v>1.1000000000000001</v>
      </c>
      <c r="C93" s="133">
        <v>5.8</v>
      </c>
      <c r="D93" s="134">
        <v>127</v>
      </c>
      <c r="E93" s="135">
        <v>254.44545454545451</v>
      </c>
      <c r="F93" s="132">
        <v>0.7</v>
      </c>
      <c r="G93" s="132">
        <v>4</v>
      </c>
      <c r="H93" s="132">
        <v>1</v>
      </c>
      <c r="I93" s="132">
        <v>1</v>
      </c>
      <c r="J93" s="132">
        <v>1</v>
      </c>
      <c r="K93" s="134"/>
      <c r="L93" s="140">
        <v>5.5720658924548943</v>
      </c>
    </row>
    <row r="94" spans="1:12" ht="15" customHeight="1">
      <c r="A94" s="141" t="s">
        <v>230</v>
      </c>
      <c r="B94" s="142"/>
      <c r="C94" s="127"/>
      <c r="D94" s="129"/>
      <c r="E94" s="143"/>
      <c r="F94" s="144"/>
      <c r="G94" s="147" t="s">
        <v>243</v>
      </c>
      <c r="H94" s="142"/>
      <c r="I94" s="144"/>
      <c r="J94" s="120"/>
      <c r="K94" s="47"/>
      <c r="L94" s="58"/>
    </row>
    <row r="95" spans="1:12" ht="15" customHeight="1">
      <c r="A95" s="136" t="s">
        <v>233</v>
      </c>
      <c r="B95" s="127"/>
      <c r="C95" s="127"/>
      <c r="D95" s="127" t="s">
        <v>231</v>
      </c>
      <c r="E95" s="127" t="s">
        <v>238</v>
      </c>
      <c r="F95" s="145" t="s">
        <v>224</v>
      </c>
      <c r="G95" s="148" t="s">
        <v>231</v>
      </c>
      <c r="H95" s="127" t="s">
        <v>238</v>
      </c>
      <c r="I95" s="149" t="s">
        <v>228</v>
      </c>
      <c r="J95" s="129" t="s">
        <v>132</v>
      </c>
      <c r="K95" s="129"/>
      <c r="L95" s="130" t="s">
        <v>245</v>
      </c>
    </row>
    <row r="96" spans="1:12" ht="15" customHeight="1">
      <c r="A96" s="137" t="s">
        <v>247</v>
      </c>
      <c r="B96" s="133"/>
      <c r="C96" s="133"/>
      <c r="D96" s="138">
        <v>0</v>
      </c>
      <c r="E96" s="139">
        <v>81.583270874999982</v>
      </c>
      <c r="F96" s="146">
        <v>81.583270874999982</v>
      </c>
      <c r="G96" s="150">
        <v>0</v>
      </c>
      <c r="H96" s="134">
        <v>0</v>
      </c>
      <c r="I96" s="151">
        <v>0</v>
      </c>
      <c r="J96" s="135">
        <v>81.583270874999982</v>
      </c>
      <c r="K96" s="132"/>
      <c r="L96" s="140">
        <v>7.2626527990297367</v>
      </c>
    </row>
    <row r="97" spans="1:12" ht="15" customHeight="1">
      <c r="A97" s="31">
        <v>11</v>
      </c>
      <c r="B97" s="61" t="s">
        <v>260</v>
      </c>
      <c r="C97" s="59"/>
      <c r="D97" s="59"/>
      <c r="E97" s="59"/>
      <c r="F97" s="59"/>
      <c r="G97" s="59"/>
      <c r="H97" s="59"/>
      <c r="I97" s="59"/>
      <c r="J97" s="59"/>
      <c r="K97" s="59"/>
      <c r="L97" s="60"/>
    </row>
    <row r="98" spans="1:12" ht="15" customHeight="1">
      <c r="A98" s="125" t="s">
        <v>128</v>
      </c>
      <c r="B98" s="126" t="s">
        <v>217</v>
      </c>
      <c r="C98" s="127" t="s">
        <v>229</v>
      </c>
      <c r="D98" s="128" t="s">
        <v>215</v>
      </c>
      <c r="E98" s="126" t="s">
        <v>216</v>
      </c>
      <c r="F98" s="129" t="s">
        <v>222</v>
      </c>
      <c r="G98" s="129" t="s">
        <v>223</v>
      </c>
      <c r="H98" s="129" t="s">
        <v>219</v>
      </c>
      <c r="I98" s="129" t="s">
        <v>220</v>
      </c>
      <c r="J98" s="129" t="s">
        <v>221</v>
      </c>
      <c r="K98" s="129"/>
      <c r="L98" s="130" t="s">
        <v>126</v>
      </c>
    </row>
    <row r="99" spans="1:12" ht="15" customHeight="1">
      <c r="A99" s="131">
        <v>355</v>
      </c>
      <c r="B99" s="132">
        <v>1.1000000000000001</v>
      </c>
      <c r="C99" s="133">
        <v>7</v>
      </c>
      <c r="D99" s="134">
        <v>127</v>
      </c>
      <c r="E99" s="135">
        <v>254.44545454545451</v>
      </c>
      <c r="F99" s="132">
        <v>0.7</v>
      </c>
      <c r="G99" s="132">
        <v>4</v>
      </c>
      <c r="H99" s="132">
        <v>1</v>
      </c>
      <c r="I99" s="132">
        <v>1</v>
      </c>
      <c r="J99" s="132">
        <v>1</v>
      </c>
      <c r="K99" s="134"/>
      <c r="L99" s="140">
        <v>5.5720658924548943</v>
      </c>
    </row>
    <row r="100" spans="1:12" ht="15" customHeight="1">
      <c r="A100" s="141" t="s">
        <v>230</v>
      </c>
      <c r="B100" s="142"/>
      <c r="C100" s="127"/>
      <c r="D100" s="129"/>
      <c r="E100" s="143"/>
      <c r="F100" s="144"/>
      <c r="G100" s="147" t="s">
        <v>243</v>
      </c>
      <c r="H100" s="142"/>
      <c r="I100" s="144"/>
      <c r="J100" s="120"/>
      <c r="K100" s="47"/>
      <c r="L100" s="58"/>
    </row>
    <row r="101" spans="1:12" ht="15" customHeight="1">
      <c r="A101" s="136" t="s">
        <v>233</v>
      </c>
      <c r="B101" s="127"/>
      <c r="C101" s="127"/>
      <c r="D101" s="127" t="s">
        <v>231</v>
      </c>
      <c r="E101" s="127" t="s">
        <v>238</v>
      </c>
      <c r="F101" s="145" t="s">
        <v>224</v>
      </c>
      <c r="G101" s="148" t="s">
        <v>231</v>
      </c>
      <c r="H101" s="127" t="s">
        <v>238</v>
      </c>
      <c r="I101" s="149" t="s">
        <v>228</v>
      </c>
      <c r="J101" s="129" t="s">
        <v>132</v>
      </c>
      <c r="K101" s="129"/>
      <c r="L101" s="130" t="s">
        <v>245</v>
      </c>
    </row>
    <row r="102" spans="1:12" ht="15" customHeight="1">
      <c r="A102" s="137" t="s">
        <v>255</v>
      </c>
      <c r="B102" s="133"/>
      <c r="C102" s="133"/>
      <c r="D102" s="138">
        <v>0</v>
      </c>
      <c r="E102" s="139">
        <v>65.293765874999991</v>
      </c>
      <c r="F102" s="146">
        <v>65.293765874999991</v>
      </c>
      <c r="G102" s="150">
        <v>0</v>
      </c>
      <c r="H102" s="134">
        <v>0</v>
      </c>
      <c r="I102" s="151">
        <v>0</v>
      </c>
      <c r="J102" s="135">
        <v>65.293765874999991</v>
      </c>
      <c r="K102" s="132"/>
      <c r="L102" s="140">
        <v>6.6026518648368988</v>
      </c>
    </row>
    <row r="103" spans="1:12" ht="15" customHeight="1"/>
    <row r="104" spans="1:12" ht="15" customHeight="1"/>
    <row r="105" spans="1:12" ht="15" customHeight="1"/>
    <row r="106" spans="1:12" ht="15" customHeight="1"/>
    <row r="107" spans="1:12" ht="15" customHeight="1"/>
    <row r="108" spans="1:12" ht="15" customHeight="1"/>
    <row r="109" spans="1:12" ht="15" customHeight="1"/>
    <row r="110" spans="1:12" ht="15" customHeight="1"/>
    <row r="111" spans="1:12" ht="15" customHeight="1"/>
    <row r="112" spans="1:12" ht="15" customHeight="1"/>
    <row r="113" ht="15" customHeight="1"/>
    <row r="114" ht="15" customHeight="1"/>
    <row r="115" ht="15" customHeight="1"/>
    <row r="116" ht="15" customHeight="1"/>
    <row r="117" ht="15" customHeight="1"/>
    <row r="118" ht="15" customHeight="1"/>
    <row r="119" ht="15" customHeight="1"/>
    <row r="120" ht="15" customHeight="1"/>
    <row r="121" ht="15" customHeight="1"/>
    <row r="122" ht="15" customHeight="1"/>
    <row r="123" ht="15" customHeight="1"/>
    <row r="124" ht="15" customHeight="1"/>
    <row r="125" ht="15" customHeight="1"/>
    <row r="126" ht="15" customHeight="1"/>
    <row r="127" ht="15" customHeight="1"/>
    <row r="128" ht="15" customHeight="1"/>
    <row r="129" ht="15" customHeight="1"/>
    <row r="130" ht="15" customHeight="1"/>
    <row r="131" ht="15" customHeight="1"/>
    <row r="132" ht="15" customHeight="1"/>
    <row r="133" ht="15" customHeight="1"/>
    <row r="425" spans="1:12" ht="12" customHeight="1">
      <c r="A425"/>
      <c r="B425"/>
      <c r="C425"/>
      <c r="D425"/>
      <c r="E425"/>
      <c r="F425"/>
      <c r="G425"/>
      <c r="H425"/>
      <c r="I425"/>
      <c r="J425"/>
      <c r="K425"/>
      <c r="L425"/>
    </row>
    <row r="426" spans="1:12" ht="12" customHeight="1">
      <c r="A426"/>
      <c r="B426"/>
      <c r="C426"/>
      <c r="D426"/>
      <c r="E426"/>
      <c r="F426"/>
      <c r="G426"/>
      <c r="H426"/>
      <c r="I426"/>
      <c r="J426"/>
      <c r="K426"/>
      <c r="L426"/>
    </row>
    <row r="427" spans="1:12" ht="12" customHeight="1">
      <c r="A427"/>
      <c r="B427"/>
      <c r="C427"/>
      <c r="D427"/>
      <c r="E427"/>
      <c r="F427"/>
      <c r="G427"/>
      <c r="H427"/>
      <c r="I427"/>
      <c r="J427"/>
      <c r="K427"/>
      <c r="L427"/>
    </row>
    <row r="497" spans="1:12" ht="12" customHeight="1">
      <c r="A497"/>
      <c r="B497"/>
      <c r="C497"/>
      <c r="D497"/>
      <c r="E497"/>
      <c r="F497"/>
      <c r="G497"/>
      <c r="H497"/>
      <c r="I497"/>
      <c r="J497"/>
      <c r="K497"/>
      <c r="L497"/>
    </row>
    <row r="498" spans="1:12" ht="12" customHeight="1">
      <c r="A498"/>
      <c r="B498"/>
      <c r="C498"/>
      <c r="D498"/>
      <c r="E498"/>
      <c r="F498"/>
      <c r="G498"/>
      <c r="H498"/>
      <c r="I498"/>
      <c r="J498"/>
      <c r="K498"/>
      <c r="L498"/>
    </row>
    <row r="499" spans="1:12" ht="12" customHeight="1">
      <c r="A499"/>
      <c r="B499"/>
      <c r="C499"/>
      <c r="D499"/>
      <c r="E499"/>
      <c r="F499"/>
      <c r="G499"/>
      <c r="H499"/>
      <c r="I499"/>
      <c r="J499"/>
      <c r="K499"/>
      <c r="L499"/>
    </row>
  </sheetData>
  <mergeCells count="1">
    <mergeCell ref="E4:L5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Calculator_Click">
                <anchor moveWithCells="1" sizeWithCells="1">
                  <from>
                    <xdr:col>6</xdr:col>
                    <xdr:colOff>0</xdr:colOff>
                    <xdr:row>34</xdr:row>
                    <xdr:rowOff>15240</xdr:rowOff>
                  </from>
                  <to>
                    <xdr:col>7</xdr:col>
                    <xdr:colOff>502920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Delete_Click">
                <anchor moveWithCells="1" sizeWithCells="1">
                  <from>
                    <xdr:col>9</xdr:col>
                    <xdr:colOff>0</xdr:colOff>
                    <xdr:row>34</xdr:row>
                    <xdr:rowOff>15240</xdr:rowOff>
                  </from>
                  <to>
                    <xdr:col>10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ClearAll_Click">
                <anchor moveWithCells="1" sizeWithCells="1">
                  <from>
                    <xdr:col>10</xdr:col>
                    <xdr:colOff>0</xdr:colOff>
                    <xdr:row>34</xdr:row>
                    <xdr:rowOff>15240</xdr:rowOff>
                  </from>
                  <to>
                    <xdr:col>11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CleaeAll_Click">
                <anchor moveWithCells="1" sizeWithCells="1">
                  <from>
                    <xdr:col>10</xdr:col>
                    <xdr:colOff>502920</xdr:colOff>
                    <xdr:row>34</xdr:row>
                    <xdr:rowOff>15240</xdr:rowOff>
                  </from>
                  <to>
                    <xdr:col>12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01123-7FAD-44A4-BDEA-B88F89545C7D}">
  <sheetPr codeName="Sheet7"/>
  <dimension ref="A1:R472"/>
  <sheetViews>
    <sheetView zoomScale="130" zoomScaleNormal="130" workbookViewId="0">
      <selection activeCell="E42" sqref="E42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21" t="s">
        <v>67</v>
      </c>
      <c r="F4" s="121"/>
      <c r="G4" s="121"/>
      <c r="H4" s="121"/>
      <c r="I4" s="121"/>
      <c r="J4" s="121"/>
      <c r="K4" s="121"/>
      <c r="L4" s="121"/>
    </row>
    <row r="5" spans="1:12" ht="12" customHeight="1">
      <c r="A5" s="27"/>
      <c r="B5" s="27"/>
      <c r="C5" s="27"/>
      <c r="D5" s="27"/>
      <c r="E5" s="121"/>
      <c r="F5" s="121"/>
      <c r="G5" s="121"/>
      <c r="H5" s="121"/>
      <c r="I5" s="121"/>
      <c r="J5" s="121"/>
      <c r="K5" s="121"/>
      <c r="L5" s="121"/>
    </row>
    <row r="7" spans="1:12" ht="12" customHeight="1">
      <c r="A7" s="28" t="s">
        <v>104</v>
      </c>
      <c r="C7" s="122" t="s">
        <v>118</v>
      </c>
      <c r="D7" s="123"/>
      <c r="E7" s="123"/>
      <c r="F7" s="123"/>
      <c r="G7" s="123"/>
      <c r="H7" s="123"/>
      <c r="I7" s="123"/>
      <c r="J7" s="124"/>
    </row>
    <row r="8" spans="1:12" ht="12" customHeight="1">
      <c r="A8" s="37" t="s">
        <v>125</v>
      </c>
      <c r="B8" s="37"/>
      <c r="C8" s="94" t="s">
        <v>153</v>
      </c>
      <c r="D8" s="95"/>
      <c r="E8" s="96"/>
      <c r="F8" s="39"/>
      <c r="G8" s="37" t="s">
        <v>154</v>
      </c>
      <c r="H8" s="46">
        <v>12</v>
      </c>
      <c r="I8" s="37" t="s">
        <v>151</v>
      </c>
      <c r="J8" s="37"/>
    </row>
    <row r="9" spans="1:12" s="37" customFormat="1" ht="12" customHeight="1">
      <c r="A9" s="37" t="s">
        <v>106</v>
      </c>
      <c r="C9" s="38" t="s">
        <v>105</v>
      </c>
      <c r="D9" s="38"/>
      <c r="E9" s="93">
        <v>10.5</v>
      </c>
      <c r="F9" s="39" t="s">
        <v>21</v>
      </c>
    </row>
    <row r="10" spans="1:12" s="37" customFormat="1" ht="14.25" customHeight="1">
      <c r="C10" s="38"/>
      <c r="D10" s="40" t="s">
        <v>119</v>
      </c>
      <c r="E10" s="37">
        <v>1.3</v>
      </c>
      <c r="F10" s="39"/>
    </row>
    <row r="11" spans="1:12" s="37" customFormat="1" ht="12" customHeight="1">
      <c r="D11" s="36" t="s">
        <v>32</v>
      </c>
      <c r="E11" s="41">
        <f>(1.025*9.81*E9+25)*E10</f>
        <v>169.75416250000001</v>
      </c>
      <c r="F11" s="37" t="s">
        <v>120</v>
      </c>
    </row>
    <row r="12" spans="1:12" s="37" customFormat="1" ht="12" customHeight="1">
      <c r="D12" s="36"/>
      <c r="E12" s="41"/>
    </row>
    <row r="13" spans="1:12" s="37" customFormat="1" ht="12" customHeight="1">
      <c r="A13" s="37" t="s">
        <v>107</v>
      </c>
      <c r="E13" s="89" t="s">
        <v>111</v>
      </c>
    </row>
    <row r="14" spans="1:12" s="37" customFormat="1" ht="12" customHeight="1">
      <c r="A14" s="37" t="s">
        <v>127</v>
      </c>
      <c r="E14" s="89">
        <f>VLOOKUP(E13,Front!E3:H7,2,FALSE)</f>
        <v>355</v>
      </c>
    </row>
    <row r="15" spans="1:12" s="37" customFormat="1" ht="12" customHeight="1">
      <c r="A15" s="37" t="s">
        <v>117</v>
      </c>
      <c r="B15" s="38"/>
      <c r="C15" s="38"/>
      <c r="D15" s="38"/>
      <c r="E15" s="42">
        <f>E14/E16</f>
        <v>308.69565217391306</v>
      </c>
      <c r="F15" s="37" t="s">
        <v>121</v>
      </c>
    </row>
    <row r="16" spans="1:12" s="37" customFormat="1" ht="12" customHeight="1">
      <c r="D16" s="43" t="s">
        <v>122</v>
      </c>
      <c r="E16" s="36">
        <v>1.1499999999999999</v>
      </c>
    </row>
    <row r="17" spans="1:12" s="37" customFormat="1" ht="12" customHeight="1">
      <c r="D17" s="37" t="s">
        <v>123</v>
      </c>
      <c r="E17" s="44">
        <v>1</v>
      </c>
    </row>
    <row r="18" spans="1:12" s="37" customFormat="1" ht="12" customHeight="1"/>
    <row r="19" spans="1:12" s="37" customFormat="1" ht="12" customHeight="1">
      <c r="D19" s="38" t="s">
        <v>116</v>
      </c>
      <c r="E19" s="92">
        <v>0.75</v>
      </c>
      <c r="F19" s="39" t="s">
        <v>21</v>
      </c>
    </row>
    <row r="20" spans="1:12" s="37" customFormat="1" ht="12" customHeight="1">
      <c r="D20" s="38" t="s">
        <v>115</v>
      </c>
      <c r="E20" s="92">
        <v>4</v>
      </c>
      <c r="F20" s="39" t="s">
        <v>21</v>
      </c>
    </row>
    <row r="21" spans="1:12" s="37" customFormat="1" ht="12" customHeight="1">
      <c r="D21" s="38" t="s">
        <v>124</v>
      </c>
      <c r="E21" s="45">
        <v>12</v>
      </c>
    </row>
    <row r="22" spans="1:12" s="37" customFormat="1" ht="12" customHeight="1"/>
    <row r="23" spans="1:12" s="37" customFormat="1" ht="12" customHeight="1">
      <c r="I23" s="46">
        <v>4</v>
      </c>
    </row>
    <row r="24" spans="1:12" s="37" customFormat="1" ht="12" customHeight="1"/>
    <row r="25" spans="1:12" ht="12" customHeight="1">
      <c r="A25" s="30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</row>
    <row r="26" spans="1:12" ht="15" customHeight="1">
      <c r="A26" s="64">
        <v>1</v>
      </c>
      <c r="B26" s="65" t="s">
        <v>118</v>
      </c>
      <c r="C26" s="66"/>
      <c r="D26" s="66"/>
      <c r="E26" s="66"/>
      <c r="F26" s="66"/>
      <c r="G26" s="66"/>
      <c r="H26" s="66"/>
      <c r="I26" s="66"/>
      <c r="J26" s="66"/>
      <c r="K26" s="66"/>
      <c r="L26" s="67"/>
    </row>
    <row r="27" spans="1:12" ht="15" customHeight="1">
      <c r="A27" s="88" t="s">
        <v>165</v>
      </c>
      <c r="B27" s="68"/>
      <c r="C27" s="49"/>
      <c r="D27" s="68" t="s">
        <v>152</v>
      </c>
      <c r="E27" s="49">
        <v>0.75</v>
      </c>
      <c r="F27" s="49" t="s">
        <v>101</v>
      </c>
      <c r="G27" s="49">
        <v>3000</v>
      </c>
      <c r="H27" s="49" t="s">
        <v>93</v>
      </c>
      <c r="I27" s="52">
        <v>399.95656436363635</v>
      </c>
      <c r="J27" s="49"/>
      <c r="K27" s="49"/>
      <c r="L27" s="33"/>
    </row>
    <row r="28" spans="1:12" ht="15" customHeight="1">
      <c r="A28" s="32" t="s">
        <v>128</v>
      </c>
      <c r="B28" s="68" t="s">
        <v>155</v>
      </c>
      <c r="C28" s="49" t="s">
        <v>130</v>
      </c>
      <c r="D28" s="68" t="s">
        <v>131</v>
      </c>
      <c r="E28" s="49" t="s">
        <v>132</v>
      </c>
      <c r="F28" s="49" t="s">
        <v>133</v>
      </c>
      <c r="G28" s="49" t="s">
        <v>134</v>
      </c>
      <c r="H28" s="49" t="s">
        <v>135</v>
      </c>
      <c r="I28" s="49" t="s">
        <v>136</v>
      </c>
      <c r="J28" s="49"/>
      <c r="K28" s="49" t="s">
        <v>137</v>
      </c>
      <c r="L28" s="33" t="s">
        <v>150</v>
      </c>
    </row>
    <row r="29" spans="1:12" ht="15" customHeight="1">
      <c r="A29" s="69">
        <v>355</v>
      </c>
      <c r="B29" s="55">
        <v>1.1499999999999999</v>
      </c>
      <c r="C29" s="87">
        <v>308.69565217391306</v>
      </c>
      <c r="D29" s="34">
        <v>1.3</v>
      </c>
      <c r="E29" s="35">
        <v>169.75416250000001</v>
      </c>
      <c r="F29" s="71">
        <v>0.75</v>
      </c>
      <c r="G29" s="71">
        <v>4</v>
      </c>
      <c r="H29" s="34">
        <v>12</v>
      </c>
      <c r="I29" s="34">
        <v>1</v>
      </c>
      <c r="J29" s="34"/>
      <c r="K29" s="35">
        <v>549.90785035211263</v>
      </c>
      <c r="L29" s="70">
        <v>28.985208629545586</v>
      </c>
    </row>
    <row r="30" spans="1:12" ht="15" customHeight="1">
      <c r="A30" s="64">
        <v>2</v>
      </c>
      <c r="B30" s="65" t="s">
        <v>118</v>
      </c>
      <c r="C30" s="66"/>
      <c r="D30" s="66"/>
      <c r="E30" s="66"/>
      <c r="F30" s="66"/>
      <c r="G30" s="66"/>
      <c r="H30" s="66"/>
      <c r="I30" s="66"/>
      <c r="J30" s="66"/>
      <c r="K30" s="66"/>
      <c r="L30" s="67"/>
    </row>
    <row r="31" spans="1:12" ht="15" customHeight="1">
      <c r="A31" s="88" t="s">
        <v>153</v>
      </c>
      <c r="B31" s="68"/>
      <c r="C31" s="49"/>
      <c r="D31" s="68" t="s">
        <v>152</v>
      </c>
      <c r="E31" s="49">
        <v>0.75</v>
      </c>
      <c r="F31" s="49" t="s">
        <v>101</v>
      </c>
      <c r="G31" s="49">
        <v>3000</v>
      </c>
      <c r="H31" s="49" t="s">
        <v>93</v>
      </c>
      <c r="I31" s="52">
        <v>399.95656436363635</v>
      </c>
      <c r="J31" s="49"/>
      <c r="K31" s="49"/>
      <c r="L31" s="33"/>
    </row>
    <row r="32" spans="1:12" ht="15" customHeight="1">
      <c r="A32" s="32" t="s">
        <v>128</v>
      </c>
      <c r="B32" s="68" t="s">
        <v>155</v>
      </c>
      <c r="C32" s="49" t="s">
        <v>130</v>
      </c>
      <c r="D32" s="68" t="s">
        <v>131</v>
      </c>
      <c r="E32" s="49" t="s">
        <v>132</v>
      </c>
      <c r="F32" s="49" t="s">
        <v>133</v>
      </c>
      <c r="G32" s="49" t="s">
        <v>134</v>
      </c>
      <c r="H32" s="49" t="s">
        <v>135</v>
      </c>
      <c r="I32" s="49" t="s">
        <v>136</v>
      </c>
      <c r="J32" s="49"/>
      <c r="K32" s="49" t="s">
        <v>137</v>
      </c>
      <c r="L32" s="33" t="s">
        <v>150</v>
      </c>
    </row>
    <row r="33" spans="1:12" ht="15" customHeight="1">
      <c r="A33" s="69">
        <v>355</v>
      </c>
      <c r="B33" s="55">
        <v>1.1499999999999999</v>
      </c>
      <c r="C33" s="87">
        <v>308.69565217391306</v>
      </c>
      <c r="D33" s="34">
        <v>1.3</v>
      </c>
      <c r="E33" s="35">
        <v>169.75416250000001</v>
      </c>
      <c r="F33" s="71">
        <v>0.75</v>
      </c>
      <c r="G33" s="71">
        <v>4</v>
      </c>
      <c r="H33" s="34">
        <v>12</v>
      </c>
      <c r="I33" s="34">
        <v>1</v>
      </c>
      <c r="J33" s="34"/>
      <c r="K33" s="35">
        <v>549.90785035211263</v>
      </c>
      <c r="L33" s="70">
        <v>28.985208629545586</v>
      </c>
    </row>
    <row r="34" spans="1:12" ht="15" customHeight="1">
      <c r="A34" s="64">
        <v>3</v>
      </c>
      <c r="B34" s="65" t="s">
        <v>118</v>
      </c>
      <c r="C34" s="66"/>
      <c r="D34" s="66"/>
      <c r="E34" s="66"/>
      <c r="F34" s="66"/>
      <c r="G34" s="66"/>
      <c r="H34" s="66"/>
      <c r="I34" s="66"/>
      <c r="J34" s="66"/>
      <c r="K34" s="66"/>
      <c r="L34" s="67"/>
    </row>
    <row r="35" spans="1:12" ht="15" customHeight="1">
      <c r="A35" s="88" t="s">
        <v>153</v>
      </c>
      <c r="B35" s="68"/>
      <c r="C35" s="49"/>
      <c r="D35" s="68" t="s">
        <v>152</v>
      </c>
      <c r="E35" s="49">
        <v>0.75</v>
      </c>
      <c r="F35" s="49" t="s">
        <v>101</v>
      </c>
      <c r="G35" s="49">
        <v>3000</v>
      </c>
      <c r="H35" s="49" t="s">
        <v>93</v>
      </c>
      <c r="I35" s="52">
        <v>399.95656436363635</v>
      </c>
      <c r="J35" s="49"/>
      <c r="K35" s="49"/>
      <c r="L35" s="33"/>
    </row>
    <row r="36" spans="1:12" ht="15" customHeight="1">
      <c r="A36" s="32" t="s">
        <v>128</v>
      </c>
      <c r="B36" s="68" t="s">
        <v>155</v>
      </c>
      <c r="C36" s="49" t="s">
        <v>130</v>
      </c>
      <c r="D36" s="68" t="s">
        <v>131</v>
      </c>
      <c r="E36" s="49" t="s">
        <v>132</v>
      </c>
      <c r="F36" s="49" t="s">
        <v>133</v>
      </c>
      <c r="G36" s="49" t="s">
        <v>134</v>
      </c>
      <c r="H36" s="49" t="s">
        <v>135</v>
      </c>
      <c r="I36" s="49" t="s">
        <v>136</v>
      </c>
      <c r="J36" s="49"/>
      <c r="K36" s="49" t="s">
        <v>137</v>
      </c>
      <c r="L36" s="33" t="s">
        <v>150</v>
      </c>
    </row>
    <row r="37" spans="1:12" ht="15" customHeight="1">
      <c r="A37" s="69">
        <v>355</v>
      </c>
      <c r="B37" s="55">
        <v>1.1499999999999999</v>
      </c>
      <c r="C37" s="87">
        <v>308.69565217391306</v>
      </c>
      <c r="D37" s="34">
        <v>1.3</v>
      </c>
      <c r="E37" s="35">
        <v>169.75416250000001</v>
      </c>
      <c r="F37" s="71">
        <v>0.75</v>
      </c>
      <c r="G37" s="71">
        <v>4</v>
      </c>
      <c r="H37" s="34">
        <v>12</v>
      </c>
      <c r="I37" s="34">
        <v>1</v>
      </c>
      <c r="J37" s="34"/>
      <c r="K37" s="35">
        <v>549.90785035211263</v>
      </c>
      <c r="L37" s="70">
        <v>28.985208629545586</v>
      </c>
    </row>
    <row r="38" spans="1:12" ht="15" customHeight="1">
      <c r="A38" s="64"/>
      <c r="B38" s="65"/>
      <c r="C38" s="66"/>
      <c r="D38" s="66"/>
      <c r="E38" s="66"/>
      <c r="F38" s="66"/>
      <c r="G38" s="66"/>
      <c r="H38" s="66"/>
      <c r="I38" s="66"/>
      <c r="J38" s="66"/>
      <c r="K38" s="66"/>
      <c r="L38" s="67"/>
    </row>
    <row r="39" spans="1:12" ht="15" customHeight="1">
      <c r="A39" s="88"/>
      <c r="B39" s="68"/>
      <c r="C39" s="49"/>
      <c r="D39" s="68"/>
      <c r="E39" s="49"/>
      <c r="F39" s="49"/>
      <c r="G39" s="49"/>
      <c r="H39" s="49"/>
      <c r="I39" s="52"/>
      <c r="J39" s="49"/>
      <c r="K39" s="49"/>
      <c r="L39" s="33"/>
    </row>
    <row r="40" spans="1:12" ht="15" customHeight="1">
      <c r="A40" s="32"/>
      <c r="B40" s="68"/>
      <c r="C40" s="49"/>
      <c r="D40" s="68"/>
      <c r="E40" s="49"/>
      <c r="F40" s="49"/>
      <c r="G40" s="49"/>
      <c r="H40" s="49"/>
      <c r="I40" s="49"/>
      <c r="J40" s="49"/>
      <c r="K40" s="49"/>
      <c r="L40" s="33"/>
    </row>
    <row r="41" spans="1:12" ht="15" customHeight="1">
      <c r="A41" s="69"/>
      <c r="B41" s="55"/>
      <c r="C41" s="87"/>
      <c r="D41" s="34"/>
      <c r="E41" s="35"/>
      <c r="F41" s="71"/>
      <c r="G41" s="71"/>
      <c r="H41" s="34"/>
      <c r="I41" s="34"/>
      <c r="J41" s="34"/>
      <c r="K41" s="35"/>
      <c r="L41" s="70"/>
    </row>
    <row r="42" spans="1:12" ht="15" customHeight="1">
      <c r="A42" s="64"/>
      <c r="B42" s="65"/>
      <c r="C42" s="66"/>
      <c r="D42" s="66"/>
      <c r="E42" s="66"/>
      <c r="F42" s="66"/>
      <c r="G42" s="66"/>
      <c r="H42" s="66"/>
      <c r="I42" s="66"/>
      <c r="J42" s="66"/>
      <c r="K42" s="66"/>
      <c r="L42" s="67"/>
    </row>
    <row r="43" spans="1:12" ht="15" customHeight="1">
      <c r="A43" s="88"/>
      <c r="B43" s="68"/>
      <c r="C43" s="49"/>
      <c r="D43" s="68"/>
      <c r="E43" s="49"/>
      <c r="F43" s="49"/>
      <c r="G43" s="49"/>
      <c r="H43" s="49"/>
      <c r="I43" s="52"/>
      <c r="J43" s="49"/>
      <c r="K43" s="49"/>
      <c r="L43" s="33"/>
    </row>
    <row r="44" spans="1:12" ht="15" customHeight="1">
      <c r="A44" s="32"/>
      <c r="B44" s="68"/>
      <c r="C44" s="49"/>
      <c r="D44" s="68"/>
      <c r="E44" s="49"/>
      <c r="F44" s="49"/>
      <c r="G44" s="49"/>
      <c r="H44" s="49"/>
      <c r="I44" s="49"/>
      <c r="J44" s="49"/>
      <c r="K44" s="49"/>
      <c r="L44" s="33"/>
    </row>
    <row r="45" spans="1:12" ht="15" customHeight="1">
      <c r="A45" s="69"/>
      <c r="B45" s="55"/>
      <c r="C45" s="87"/>
      <c r="D45" s="34"/>
      <c r="E45" s="35"/>
      <c r="F45" s="71"/>
      <c r="G45" s="71"/>
      <c r="H45" s="34"/>
      <c r="I45" s="34"/>
      <c r="J45" s="34"/>
      <c r="K45" s="35"/>
      <c r="L45" s="70"/>
    </row>
    <row r="46" spans="1:12" ht="15" customHeight="1">
      <c r="A46" s="49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</row>
    <row r="47" spans="1:12" ht="15" customHeight="1">
      <c r="A47" s="49"/>
      <c r="B47" s="49"/>
      <c r="C47" s="50"/>
      <c r="D47" s="51"/>
      <c r="E47" s="49"/>
      <c r="F47" s="49"/>
      <c r="G47" s="49"/>
      <c r="H47" s="49"/>
      <c r="I47" s="49"/>
      <c r="J47" s="49"/>
      <c r="K47" s="49"/>
      <c r="L47" s="49"/>
    </row>
    <row r="48" spans="1:12" ht="15" customHeight="1">
      <c r="A48" s="49"/>
      <c r="B48" s="49"/>
      <c r="C48" s="49"/>
      <c r="D48" s="52"/>
      <c r="E48" s="49"/>
      <c r="F48" s="52"/>
      <c r="G48" s="53"/>
      <c r="H48" s="53"/>
      <c r="I48" s="54"/>
      <c r="J48" s="54"/>
      <c r="K48" s="54"/>
      <c r="L48" s="54"/>
    </row>
    <row r="49" spans="1:12" ht="15" customHeight="1">
      <c r="A49" s="49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</row>
    <row r="50" spans="1:12" ht="15" customHeight="1">
      <c r="A50" s="64"/>
      <c r="B50" s="65"/>
      <c r="C50" s="66"/>
      <c r="D50" s="66"/>
      <c r="E50" s="66"/>
      <c r="F50" s="66"/>
      <c r="G50" s="66"/>
      <c r="H50" s="66"/>
      <c r="I50" s="66"/>
      <c r="J50" s="66"/>
      <c r="K50" s="66"/>
      <c r="L50" s="67"/>
    </row>
    <row r="51" spans="1:12" ht="15" customHeight="1">
      <c r="A51" s="88"/>
      <c r="B51" s="68"/>
      <c r="C51" s="49"/>
      <c r="D51" s="68"/>
      <c r="E51" s="49"/>
      <c r="F51" s="49"/>
      <c r="G51" s="49"/>
      <c r="H51" s="49"/>
      <c r="I51" s="52"/>
      <c r="J51" s="49"/>
      <c r="K51" s="49"/>
      <c r="L51" s="33"/>
    </row>
    <row r="52" spans="1:12" ht="15" customHeight="1">
      <c r="A52" s="32"/>
      <c r="B52" s="68"/>
      <c r="C52" s="49"/>
      <c r="D52" s="68"/>
      <c r="E52" s="49"/>
      <c r="F52" s="49"/>
      <c r="G52" s="49"/>
      <c r="H52" s="49"/>
      <c r="I52" s="49"/>
      <c r="J52" s="49"/>
      <c r="K52" s="49"/>
      <c r="L52" s="33"/>
    </row>
    <row r="53" spans="1:12" ht="15" customHeight="1">
      <c r="A53" s="69"/>
      <c r="B53" s="55"/>
      <c r="C53" s="56"/>
      <c r="D53" s="34"/>
      <c r="E53" s="35"/>
      <c r="F53" s="71"/>
      <c r="G53" s="71"/>
      <c r="H53" s="34"/>
      <c r="I53" s="34"/>
      <c r="J53" s="34"/>
      <c r="K53" s="35"/>
      <c r="L53" s="70"/>
    </row>
    <row r="54" spans="1:12" ht="15" customHeight="1"/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398" spans="1:12" ht="12" customHeight="1">
      <c r="A398"/>
      <c r="B398"/>
      <c r="C398"/>
      <c r="D398"/>
      <c r="E398"/>
      <c r="F398"/>
      <c r="G398"/>
      <c r="H398"/>
      <c r="I398"/>
      <c r="J398"/>
      <c r="K398"/>
      <c r="L398"/>
    </row>
    <row r="399" spans="1:12" ht="12" customHeight="1">
      <c r="A399"/>
      <c r="B399"/>
      <c r="C399"/>
      <c r="D399"/>
      <c r="E399"/>
      <c r="F399"/>
      <c r="G399"/>
      <c r="H399"/>
      <c r="I399"/>
      <c r="J399"/>
      <c r="K399"/>
      <c r="L399"/>
    </row>
    <row r="400" spans="1:12" ht="12" customHeight="1">
      <c r="A400"/>
      <c r="B400"/>
      <c r="C400"/>
      <c r="D400"/>
      <c r="E400"/>
      <c r="F400"/>
      <c r="G400"/>
      <c r="H400"/>
      <c r="I400"/>
      <c r="J400"/>
      <c r="K400"/>
      <c r="L400"/>
    </row>
    <row r="470" spans="1:12" ht="12" customHeight="1">
      <c r="A470"/>
      <c r="B470"/>
      <c r="C470"/>
      <c r="D470"/>
      <c r="E470"/>
      <c r="F470"/>
      <c r="G470"/>
      <c r="H470"/>
      <c r="I470"/>
      <c r="J470"/>
      <c r="K470"/>
      <c r="L470"/>
    </row>
    <row r="471" spans="1:12" ht="12" customHeight="1">
      <c r="A471"/>
      <c r="B471"/>
      <c r="C471"/>
      <c r="D471"/>
      <c r="E471"/>
      <c r="F471"/>
      <c r="G471"/>
      <c r="H471"/>
      <c r="I471"/>
      <c r="J471"/>
      <c r="K471"/>
      <c r="L471"/>
    </row>
    <row r="472" spans="1:12" ht="12" customHeight="1">
      <c r="A472"/>
      <c r="B472"/>
      <c r="C472"/>
      <c r="D472"/>
      <c r="E472"/>
      <c r="F472"/>
      <c r="G472"/>
      <c r="H472"/>
      <c r="I472"/>
      <c r="J472"/>
      <c r="K472"/>
      <c r="L472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culator2_Click">
                <anchor moveWithCells="1" sizeWithCells="1">
                  <from>
                    <xdr:col>6</xdr:col>
                    <xdr:colOff>0</xdr:colOff>
                    <xdr:row>22</xdr:row>
                    <xdr:rowOff>0</xdr:rowOff>
                  </from>
                  <to>
                    <xdr:col>8</xdr:col>
                    <xdr:colOff>0</xdr:colOff>
                    <xdr:row>22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Delete2_Click">
                <anchor moveWithCells="1" sizeWithCells="1">
                  <from>
                    <xdr:col>9</xdr:col>
                    <xdr:colOff>0</xdr:colOff>
                    <xdr:row>22</xdr:row>
                    <xdr:rowOff>0</xdr:rowOff>
                  </from>
                  <to>
                    <xdr:col>10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ClearAll2_Click">
                <anchor moveWithCells="1" sizeWithCells="1">
                  <from>
                    <xdr:col>10</xdr:col>
                    <xdr:colOff>0</xdr:colOff>
                    <xdr:row>22</xdr:row>
                    <xdr:rowOff>0</xdr:rowOff>
                  </from>
                  <to>
                    <xdr:col>11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>
                <anchor moveWithCells="1" sizeWithCells="1">
                  <from>
                    <xdr:col>10</xdr:col>
                    <xdr:colOff>502920</xdr:colOff>
                    <xdr:row>22</xdr:row>
                    <xdr:rowOff>0</xdr:rowOff>
                  </from>
                  <to>
                    <xdr:col>12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BC716CB-6564-4611-B17D-D327E7E226D0}">
          <x14:formula1>
            <xm:f>Front!$E$3:$E$7</xm:f>
          </x14:formula1>
          <xm:sqref>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E3BD8-DCC5-4CBF-A492-1F7F4EA15155}">
  <sheetPr codeName="Sheet3"/>
  <dimension ref="B7:M29"/>
  <sheetViews>
    <sheetView topLeftCell="A7" workbookViewId="0">
      <selection activeCell="C25" sqref="C25"/>
    </sheetView>
  </sheetViews>
  <sheetFormatPr defaultRowHeight="17.399999999999999"/>
  <sheetData>
    <row r="7" spans="2:13">
      <c r="B7" s="99" t="s">
        <v>174</v>
      </c>
      <c r="F7" s="102">
        <f>1.025*9.81*(C17-C18)</f>
        <v>43.137022499999993</v>
      </c>
      <c r="G7" s="2" t="s">
        <v>175</v>
      </c>
    </row>
    <row r="8" spans="2:13">
      <c r="B8" s="100" t="s">
        <v>173</v>
      </c>
    </row>
    <row r="14" spans="2:13">
      <c r="J14">
        <v>11.4</v>
      </c>
    </row>
    <row r="15" spans="2:13">
      <c r="J15">
        <f>2.94*SQRT(M15)</f>
        <v>11.401743024643205</v>
      </c>
      <c r="M15">
        <f>7.52*2</f>
        <v>15.04</v>
      </c>
    </row>
    <row r="17" spans="2:11">
      <c r="B17" s="103" t="s">
        <v>171</v>
      </c>
      <c r="C17" s="103">
        <v>4.29</v>
      </c>
      <c r="J17">
        <v>2.5499999999999998</v>
      </c>
      <c r="K17">
        <v>3.32</v>
      </c>
    </row>
    <row r="18" spans="2:11">
      <c r="B18" s="103" t="s">
        <v>172</v>
      </c>
      <c r="C18" s="103">
        <v>0</v>
      </c>
      <c r="J18">
        <f>J17*SQRT(M15)</f>
        <v>9.8892669091293097</v>
      </c>
      <c r="K18">
        <f>K17*SQRT(M15)</f>
        <v>12.875437701297768</v>
      </c>
    </row>
    <row r="19" spans="2:11">
      <c r="B19" t="s">
        <v>8</v>
      </c>
      <c r="C19">
        <v>20.68</v>
      </c>
    </row>
    <row r="20" spans="2:11">
      <c r="B20" t="s">
        <v>24</v>
      </c>
      <c r="C20">
        <v>14.170999999999999</v>
      </c>
    </row>
    <row r="21" spans="2:11">
      <c r="B21" t="s">
        <v>177</v>
      </c>
      <c r="C21">
        <f>C17+C19/2</f>
        <v>14.629999999999999</v>
      </c>
    </row>
    <row r="22" spans="2:11">
      <c r="B22" s="3" t="s">
        <v>61</v>
      </c>
      <c r="C22" s="101">
        <f>2*PI()/C20</f>
        <v>0.4433833397205269</v>
      </c>
    </row>
    <row r="23" spans="2:11">
      <c r="B23" t="s">
        <v>176</v>
      </c>
      <c r="C23">
        <f>C17-C18</f>
        <v>4.29</v>
      </c>
    </row>
    <row r="24" spans="2:11">
      <c r="B24" s="3" t="s">
        <v>54</v>
      </c>
      <c r="C24">
        <v>60</v>
      </c>
      <c r="D24">
        <f>5*12</f>
        <v>60</v>
      </c>
      <c r="E24">
        <f>C24/C20</f>
        <v>4.2339990120668975</v>
      </c>
    </row>
    <row r="25" spans="2:11">
      <c r="B25" t="s">
        <v>53</v>
      </c>
      <c r="C25" s="101">
        <f>2*PI()/C24</f>
        <v>0.10471975511965977</v>
      </c>
    </row>
    <row r="26" spans="2:11">
      <c r="B26" s="13" t="s">
        <v>62</v>
      </c>
      <c r="C26">
        <v>313.5</v>
      </c>
    </row>
    <row r="27" spans="2:11">
      <c r="B27" t="s">
        <v>48</v>
      </c>
      <c r="C27" s="29">
        <v>22.13</v>
      </c>
    </row>
    <row r="28" spans="2:11">
      <c r="B28" s="3" t="s">
        <v>58</v>
      </c>
      <c r="C28">
        <f>C25*C26-C22*C29</f>
        <v>32.829643230013339</v>
      </c>
    </row>
    <row r="29" spans="2:11">
      <c r="B29" t="s">
        <v>44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0E483B-1479-47A6-83D5-5B48BA336FDD}">
  <sheetPr codeName="Sheet8"/>
  <dimension ref="A1:R483"/>
  <sheetViews>
    <sheetView topLeftCell="A10" zoomScale="130" zoomScaleNormal="130" workbookViewId="0">
      <selection activeCell="H15" sqref="H15"/>
    </sheetView>
  </sheetViews>
  <sheetFormatPr defaultColWidth="0" defaultRowHeight="12" customHeight="1"/>
  <cols>
    <col min="1" max="12" width="6.59765625" style="26" customWidth="1"/>
    <col min="13" max="18" width="0" style="26" hidden="1" customWidth="1"/>
    <col min="19" max="16384" width="6.59765625" style="26" hidden="1"/>
  </cols>
  <sheetData>
    <row r="1" spans="1:12" ht="12" customHeight="1">
      <c r="A1" s="27"/>
      <c r="B1" s="27"/>
      <c r="C1" s="27"/>
      <c r="D1" s="27"/>
    </row>
    <row r="2" spans="1:12" ht="12" customHeight="1">
      <c r="A2" s="27"/>
      <c r="B2" s="27"/>
      <c r="C2" s="27"/>
      <c r="D2" s="27"/>
    </row>
    <row r="3" spans="1:12" ht="12" customHeight="1">
      <c r="A3" s="27"/>
      <c r="B3" s="27"/>
      <c r="C3" s="27"/>
      <c r="D3" s="27"/>
    </row>
    <row r="4" spans="1:12" ht="12" customHeight="1">
      <c r="A4" s="27"/>
      <c r="B4" s="27"/>
      <c r="C4" s="27"/>
      <c r="D4" s="27"/>
      <c r="E4" s="121" t="s">
        <v>162</v>
      </c>
      <c r="F4" s="121"/>
      <c r="G4" s="121"/>
      <c r="H4" s="121"/>
      <c r="I4" s="121"/>
      <c r="J4" s="121"/>
      <c r="K4" s="121"/>
      <c r="L4" s="121"/>
    </row>
    <row r="5" spans="1:12" ht="12" customHeight="1">
      <c r="A5" s="27"/>
      <c r="B5" s="27"/>
      <c r="C5" s="27"/>
      <c r="D5" s="27"/>
      <c r="E5" s="121"/>
      <c r="F5" s="121"/>
      <c r="G5" s="121"/>
      <c r="H5" s="121"/>
      <c r="I5" s="121"/>
      <c r="J5" s="121"/>
      <c r="K5" s="121"/>
      <c r="L5" s="121"/>
    </row>
    <row r="7" spans="1:12" ht="12" customHeight="1">
      <c r="A7" s="28" t="s">
        <v>104</v>
      </c>
      <c r="C7" s="122" t="s">
        <v>138</v>
      </c>
      <c r="D7" s="123"/>
      <c r="E7" s="123"/>
      <c r="F7" s="123"/>
      <c r="G7" s="123"/>
      <c r="H7" s="123"/>
      <c r="I7" s="123"/>
      <c r="J7" s="124"/>
    </row>
    <row r="8" spans="1:12" ht="12" customHeight="1">
      <c r="A8" s="37" t="s">
        <v>125</v>
      </c>
      <c r="B8" s="37"/>
      <c r="C8" s="94" t="s">
        <v>163</v>
      </c>
      <c r="D8" s="95"/>
      <c r="E8" s="96"/>
      <c r="F8" s="39"/>
      <c r="G8" s="37" t="s">
        <v>154</v>
      </c>
      <c r="H8" s="46">
        <v>12</v>
      </c>
      <c r="I8" s="37" t="s">
        <v>151</v>
      </c>
    </row>
    <row r="9" spans="1:12" s="37" customFormat="1" ht="12" customHeight="1">
      <c r="A9" s="37" t="s">
        <v>106</v>
      </c>
      <c r="C9" s="38" t="s">
        <v>164</v>
      </c>
      <c r="D9" s="38"/>
      <c r="E9" s="97">
        <v>10.5</v>
      </c>
      <c r="F9" s="39" t="s">
        <v>21</v>
      </c>
    </row>
    <row r="10" spans="1:12" s="37" customFormat="1" ht="14.25" customHeight="1">
      <c r="C10" s="38"/>
      <c r="D10" s="40" t="s">
        <v>119</v>
      </c>
      <c r="E10" s="36">
        <v>1.3</v>
      </c>
      <c r="F10" s="39"/>
    </row>
    <row r="11" spans="1:12" s="37" customFormat="1" ht="12" customHeight="1">
      <c r="D11" s="36" t="s">
        <v>32</v>
      </c>
      <c r="E11" s="41">
        <f>(1.025*9.81*E9+25)*E10</f>
        <v>169.75416250000001</v>
      </c>
      <c r="F11" s="37" t="s">
        <v>120</v>
      </c>
    </row>
    <row r="12" spans="1:12" s="37" customFormat="1" ht="12" customHeight="1">
      <c r="D12" s="36" t="s">
        <v>139</v>
      </c>
      <c r="E12" s="89"/>
    </row>
    <row r="13" spans="1:12" s="37" customFormat="1" ht="12" customHeight="1">
      <c r="D13" s="36" t="s">
        <v>140</v>
      </c>
      <c r="E13" s="89"/>
    </row>
    <row r="14" spans="1:12" s="37" customFormat="1" ht="12" customHeight="1">
      <c r="D14" s="36"/>
      <c r="E14" s="36"/>
    </row>
    <row r="15" spans="1:12" s="37" customFormat="1" ht="12" customHeight="1">
      <c r="A15" s="37" t="s">
        <v>107</v>
      </c>
      <c r="E15" s="90" t="s">
        <v>112</v>
      </c>
    </row>
    <row r="16" spans="1:12" s="37" customFormat="1" ht="12" customHeight="1">
      <c r="A16" s="37" t="s">
        <v>127</v>
      </c>
      <c r="E16" s="89">
        <f>VLOOKUP(E15,Front!E3:H7,2,FALSE)</f>
        <v>355</v>
      </c>
    </row>
    <row r="17" spans="1:12" s="37" customFormat="1" ht="12" customHeight="1">
      <c r="A17" s="37" t="s">
        <v>117</v>
      </c>
      <c r="B17" s="38"/>
      <c r="C17" s="38"/>
      <c r="D17" s="38"/>
      <c r="E17" s="42">
        <f>E16/E19</f>
        <v>308.69565217391306</v>
      </c>
      <c r="F17" s="37" t="s">
        <v>121</v>
      </c>
    </row>
    <row r="18" spans="1:12" s="37" customFormat="1" ht="12" customHeight="1">
      <c r="D18" s="43" t="s">
        <v>141</v>
      </c>
      <c r="E18" s="42">
        <f>0.5*E17</f>
        <v>154.34782608695653</v>
      </c>
    </row>
    <row r="19" spans="1:12" s="37" customFormat="1" ht="12" customHeight="1">
      <c r="D19" s="43" t="s">
        <v>122</v>
      </c>
      <c r="E19" s="36">
        <v>1.1499999999999999</v>
      </c>
    </row>
    <row r="20" spans="1:12" s="37" customFormat="1" ht="12" customHeight="1"/>
    <row r="21" spans="1:12" s="37" customFormat="1" ht="12" customHeight="1">
      <c r="D21" s="72" t="s">
        <v>142</v>
      </c>
      <c r="E21" s="91">
        <v>4</v>
      </c>
      <c r="F21" s="39" t="s">
        <v>21</v>
      </c>
    </row>
    <row r="22" spans="1:12" s="37" customFormat="1" ht="12" customHeight="1">
      <c r="D22" s="72" t="s">
        <v>143</v>
      </c>
      <c r="E22" s="91">
        <v>12</v>
      </c>
      <c r="F22" s="39" t="s">
        <v>21</v>
      </c>
    </row>
    <row r="23" spans="1:12" s="37" customFormat="1" ht="12" customHeight="1">
      <c r="D23" s="73" t="s">
        <v>160</v>
      </c>
      <c r="E23" s="74">
        <v>12</v>
      </c>
    </row>
    <row r="24" spans="1:12" s="37" customFormat="1" ht="12" customHeight="1">
      <c r="A24" s="75"/>
      <c r="B24" s="76"/>
      <c r="C24" s="73"/>
      <c r="D24" s="73" t="s">
        <v>161</v>
      </c>
      <c r="E24" s="77">
        <v>0.5</v>
      </c>
      <c r="F24" s="73"/>
      <c r="G24" s="73"/>
      <c r="H24" s="73"/>
      <c r="I24" s="73"/>
      <c r="J24" s="73"/>
      <c r="K24" s="73"/>
      <c r="L24" s="78"/>
    </row>
    <row r="25" spans="1:12" s="37" customFormat="1" ht="12" customHeight="1">
      <c r="A25" s="75"/>
      <c r="B25" s="79"/>
      <c r="C25" s="73"/>
      <c r="D25" s="79"/>
      <c r="E25" s="79"/>
      <c r="F25" s="73"/>
      <c r="G25" s="73"/>
      <c r="H25" s="73"/>
      <c r="I25" s="73">
        <v>2</v>
      </c>
      <c r="J25" s="73"/>
      <c r="K25" s="73"/>
      <c r="L25" s="78"/>
    </row>
    <row r="26" spans="1:12" s="37" customFormat="1" ht="12" customHeight="1">
      <c r="A26" s="80"/>
      <c r="B26" s="81"/>
      <c r="C26" s="82"/>
      <c r="D26" s="83"/>
      <c r="E26" s="83"/>
      <c r="F26" s="84"/>
      <c r="G26" s="84"/>
      <c r="H26" s="83"/>
      <c r="I26" s="83"/>
      <c r="J26" s="83"/>
      <c r="K26" s="84"/>
      <c r="L26" s="85"/>
    </row>
    <row r="27" spans="1:12" ht="15" customHeight="1">
      <c r="A27" s="32">
        <v>1</v>
      </c>
      <c r="B27" s="86" t="s">
        <v>138</v>
      </c>
      <c r="C27" s="49"/>
      <c r="D27" s="49"/>
      <c r="E27" s="49"/>
      <c r="F27" s="49"/>
      <c r="G27" s="49"/>
      <c r="H27" s="49"/>
      <c r="I27" s="49"/>
      <c r="J27" s="49"/>
      <c r="K27" s="49"/>
      <c r="L27" s="33"/>
    </row>
    <row r="28" spans="1:12" ht="15" customHeight="1">
      <c r="A28" s="88" t="s">
        <v>163</v>
      </c>
      <c r="B28" s="86"/>
      <c r="C28" s="49"/>
      <c r="D28" s="68" t="s">
        <v>168</v>
      </c>
      <c r="E28" s="49">
        <v>4</v>
      </c>
      <c r="F28" s="49" t="s">
        <v>169</v>
      </c>
      <c r="G28" s="49">
        <v>24000</v>
      </c>
      <c r="H28" s="49" t="s">
        <v>170</v>
      </c>
      <c r="I28" s="52">
        <v>16413.426473758864</v>
      </c>
      <c r="J28" s="49"/>
      <c r="K28" s="49"/>
      <c r="L28" s="33"/>
    </row>
    <row r="29" spans="1:12" ht="15" customHeight="1">
      <c r="A29" s="32" t="s">
        <v>128</v>
      </c>
      <c r="B29" s="68" t="s">
        <v>167</v>
      </c>
      <c r="C29" s="49" t="s">
        <v>130</v>
      </c>
      <c r="D29" s="68" t="s">
        <v>144</v>
      </c>
      <c r="E29" s="68" t="s">
        <v>131</v>
      </c>
      <c r="F29" s="49" t="s">
        <v>132</v>
      </c>
      <c r="G29" s="49" t="s">
        <v>145</v>
      </c>
      <c r="H29" s="49" t="s">
        <v>146</v>
      </c>
      <c r="I29" s="49" t="s">
        <v>135</v>
      </c>
      <c r="J29" s="49" t="s">
        <v>147</v>
      </c>
      <c r="K29" s="49" t="s">
        <v>148</v>
      </c>
      <c r="L29" s="33" t="s">
        <v>149</v>
      </c>
    </row>
    <row r="30" spans="1:12" ht="15" customHeight="1">
      <c r="A30" s="69">
        <v>355</v>
      </c>
      <c r="B30" s="55">
        <v>1.1499999999999999</v>
      </c>
      <c r="C30" s="87">
        <v>308.69565217391306</v>
      </c>
      <c r="D30" s="35">
        <v>154.34782608695653</v>
      </c>
      <c r="E30" s="34">
        <v>1.3</v>
      </c>
      <c r="F30" s="35">
        <v>169.75416250000001</v>
      </c>
      <c r="G30" s="35">
        <v>4</v>
      </c>
      <c r="H30" s="34">
        <v>12</v>
      </c>
      <c r="I30" s="34">
        <v>12</v>
      </c>
      <c r="J30" s="34">
        <v>0.5</v>
      </c>
      <c r="K30" s="35">
        <v>26395.576816901405</v>
      </c>
      <c r="L30" s="70">
        <v>26395.576816901408</v>
      </c>
    </row>
    <row r="31" spans="1:12" ht="15" customHeight="1">
      <c r="A31" s="32">
        <v>2</v>
      </c>
      <c r="B31" s="86" t="s">
        <v>138</v>
      </c>
      <c r="C31" s="49"/>
      <c r="D31" s="49"/>
      <c r="E31" s="49"/>
      <c r="F31" s="49"/>
      <c r="G31" s="49"/>
      <c r="H31" s="49"/>
      <c r="I31" s="49"/>
      <c r="J31" s="49"/>
      <c r="K31" s="49"/>
      <c r="L31" s="33"/>
    </row>
    <row r="32" spans="1:12" ht="15" customHeight="1">
      <c r="A32" s="88" t="s">
        <v>163</v>
      </c>
      <c r="B32" s="86"/>
      <c r="C32" s="49"/>
      <c r="D32" s="68" t="s">
        <v>152</v>
      </c>
      <c r="E32" s="49">
        <v>4</v>
      </c>
      <c r="F32" s="49" t="s">
        <v>166</v>
      </c>
      <c r="G32" s="49">
        <v>24000</v>
      </c>
      <c r="H32" s="49" t="s">
        <v>93</v>
      </c>
      <c r="I32" s="52">
        <v>16413.426473758864</v>
      </c>
      <c r="J32" s="49"/>
      <c r="K32" s="49"/>
      <c r="L32" s="33"/>
    </row>
    <row r="33" spans="1:12" ht="15" customHeight="1">
      <c r="A33" s="32" t="s">
        <v>128</v>
      </c>
      <c r="B33" s="68" t="s">
        <v>167</v>
      </c>
      <c r="C33" s="49" t="s">
        <v>130</v>
      </c>
      <c r="D33" s="68" t="s">
        <v>144</v>
      </c>
      <c r="E33" s="68" t="s">
        <v>131</v>
      </c>
      <c r="F33" s="49" t="s">
        <v>132</v>
      </c>
      <c r="G33" s="49" t="s">
        <v>145</v>
      </c>
      <c r="H33" s="49" t="s">
        <v>146</v>
      </c>
      <c r="I33" s="49" t="s">
        <v>135</v>
      </c>
      <c r="J33" s="49" t="s">
        <v>147</v>
      </c>
      <c r="K33" s="49" t="s">
        <v>148</v>
      </c>
      <c r="L33" s="33" t="s">
        <v>149</v>
      </c>
    </row>
    <row r="34" spans="1:12" ht="15" customHeight="1">
      <c r="A34" s="69">
        <v>355</v>
      </c>
      <c r="B34" s="55">
        <v>1.1499999999999999</v>
      </c>
      <c r="C34" s="87">
        <v>308.69565217391306</v>
      </c>
      <c r="D34" s="35">
        <v>154.34782608695653</v>
      </c>
      <c r="E34" s="34">
        <v>1.3</v>
      </c>
      <c r="F34" s="35">
        <v>169.75416250000001</v>
      </c>
      <c r="G34" s="35">
        <v>4</v>
      </c>
      <c r="H34" s="34">
        <v>12</v>
      </c>
      <c r="I34" s="34">
        <v>12</v>
      </c>
      <c r="J34" s="34">
        <v>0.5</v>
      </c>
      <c r="K34" s="35">
        <v>26395.576816901405</v>
      </c>
      <c r="L34" s="70">
        <v>26395.576816901408</v>
      </c>
    </row>
    <row r="35" spans="1:12" ht="15" customHeight="1">
      <c r="A35" s="32">
        <v>3</v>
      </c>
      <c r="B35" s="86" t="s">
        <v>118</v>
      </c>
      <c r="C35" s="49"/>
      <c r="D35" s="49"/>
      <c r="E35" s="49"/>
      <c r="F35" s="49"/>
      <c r="G35" s="49"/>
      <c r="H35" s="49"/>
      <c r="I35" s="49"/>
      <c r="J35" s="49"/>
      <c r="K35" s="49"/>
      <c r="L35" s="33"/>
    </row>
    <row r="36" spans="1:12" ht="15" customHeight="1">
      <c r="A36" s="88" t="s">
        <v>163</v>
      </c>
      <c r="B36" s="86"/>
      <c r="C36" s="49"/>
      <c r="D36" s="68" t="s">
        <v>152</v>
      </c>
      <c r="E36" s="49">
        <v>4</v>
      </c>
      <c r="F36" s="49" t="s">
        <v>101</v>
      </c>
      <c r="G36" s="49">
        <v>24000</v>
      </c>
      <c r="H36" s="49" t="s">
        <v>93</v>
      </c>
      <c r="I36" s="52">
        <v>16413.426473758864</v>
      </c>
      <c r="J36" s="49"/>
      <c r="K36" s="49"/>
      <c r="L36" s="33"/>
    </row>
    <row r="37" spans="1:12" ht="15" customHeight="1">
      <c r="A37" s="32" t="s">
        <v>128</v>
      </c>
      <c r="B37" s="68" t="s">
        <v>129</v>
      </c>
      <c r="C37" s="49" t="s">
        <v>130</v>
      </c>
      <c r="D37" s="68" t="s">
        <v>144</v>
      </c>
      <c r="E37" s="68" t="s">
        <v>131</v>
      </c>
      <c r="F37" s="49" t="s">
        <v>132</v>
      </c>
      <c r="G37" s="49" t="s">
        <v>145</v>
      </c>
      <c r="H37" s="49" t="s">
        <v>146</v>
      </c>
      <c r="I37" s="49" t="s">
        <v>135</v>
      </c>
      <c r="J37" s="49" t="s">
        <v>147</v>
      </c>
      <c r="K37" s="49" t="s">
        <v>148</v>
      </c>
      <c r="L37" s="33" t="s">
        <v>149</v>
      </c>
    </row>
    <row r="38" spans="1:12" ht="15" customHeight="1">
      <c r="A38" s="69">
        <v>355</v>
      </c>
      <c r="B38" s="55">
        <v>1.1499999999999999</v>
      </c>
      <c r="C38" s="87">
        <v>222.39999999999998</v>
      </c>
      <c r="D38" s="35">
        <v>154.34782608695653</v>
      </c>
      <c r="E38" s="34">
        <v>1.3</v>
      </c>
      <c r="F38" s="35">
        <v>169.75416250000001</v>
      </c>
      <c r="G38" s="35">
        <v>4</v>
      </c>
      <c r="H38" s="34">
        <v>12</v>
      </c>
      <c r="I38" s="34">
        <v>12</v>
      </c>
      <c r="J38" s="34">
        <v>0.5</v>
      </c>
      <c r="K38" s="35">
        <v>36637.58902877698</v>
      </c>
      <c r="L38" s="70">
        <v>26395.576816901408</v>
      </c>
    </row>
    <row r="39" spans="1:12" ht="15" customHeight="1">
      <c r="A39" s="32">
        <v>4</v>
      </c>
      <c r="B39" s="86" t="s">
        <v>118</v>
      </c>
      <c r="C39" s="49"/>
      <c r="D39" s="49"/>
      <c r="E39" s="49"/>
      <c r="F39" s="49"/>
      <c r="G39" s="49"/>
      <c r="H39" s="49"/>
      <c r="I39" s="49"/>
      <c r="J39" s="49"/>
      <c r="K39" s="49"/>
      <c r="L39" s="33"/>
    </row>
    <row r="40" spans="1:12" ht="15" customHeight="1">
      <c r="A40" s="88" t="s">
        <v>163</v>
      </c>
      <c r="B40" s="86"/>
      <c r="C40" s="49"/>
      <c r="D40" s="68" t="s">
        <v>152</v>
      </c>
      <c r="E40" s="49">
        <v>4</v>
      </c>
      <c r="F40" s="49" t="s">
        <v>101</v>
      </c>
      <c r="G40" s="49">
        <v>24000</v>
      </c>
      <c r="H40" s="49" t="s">
        <v>93</v>
      </c>
      <c r="I40" s="52">
        <v>16413.426473758864</v>
      </c>
      <c r="J40" s="49"/>
      <c r="K40" s="49"/>
      <c r="L40" s="33"/>
    </row>
    <row r="41" spans="1:12" ht="15" customHeight="1">
      <c r="A41" s="32" t="s">
        <v>128</v>
      </c>
      <c r="B41" s="68" t="s">
        <v>129</v>
      </c>
      <c r="C41" s="49" t="s">
        <v>130</v>
      </c>
      <c r="D41" s="68" t="s">
        <v>144</v>
      </c>
      <c r="E41" s="68" t="s">
        <v>131</v>
      </c>
      <c r="F41" s="49" t="s">
        <v>132</v>
      </c>
      <c r="G41" s="49" t="s">
        <v>145</v>
      </c>
      <c r="H41" s="49" t="s">
        <v>146</v>
      </c>
      <c r="I41" s="49" t="s">
        <v>135</v>
      </c>
      <c r="J41" s="49" t="s">
        <v>147</v>
      </c>
      <c r="K41" s="49" t="s">
        <v>148</v>
      </c>
      <c r="L41" s="33" t="s">
        <v>149</v>
      </c>
    </row>
    <row r="42" spans="1:12" ht="15" customHeight="1">
      <c r="A42" s="69">
        <v>355</v>
      </c>
      <c r="B42" s="55">
        <v>1.1499999999999999</v>
      </c>
      <c r="C42" s="87">
        <v>222.39999999999998</v>
      </c>
      <c r="D42" s="35">
        <v>154.34782608695653</v>
      </c>
      <c r="E42" s="34">
        <v>1.3</v>
      </c>
      <c r="F42" s="35">
        <v>169.75416250000001</v>
      </c>
      <c r="G42" s="35">
        <v>4</v>
      </c>
      <c r="H42" s="34">
        <v>12</v>
      </c>
      <c r="I42" s="34">
        <v>12</v>
      </c>
      <c r="J42" s="34">
        <v>0.5</v>
      </c>
      <c r="K42" s="35">
        <v>36637.58902877698</v>
      </c>
      <c r="L42" s="70">
        <v>26395.576816901408</v>
      </c>
    </row>
    <row r="43" spans="1:12" ht="15" customHeight="1">
      <c r="A43" s="32">
        <v>5</v>
      </c>
      <c r="B43" s="86" t="s">
        <v>118</v>
      </c>
      <c r="C43" s="49"/>
      <c r="D43" s="49"/>
      <c r="E43" s="49"/>
      <c r="F43" s="49"/>
      <c r="G43" s="49"/>
      <c r="H43" s="49"/>
      <c r="I43" s="49"/>
      <c r="J43" s="49"/>
      <c r="K43" s="49"/>
      <c r="L43" s="33"/>
    </row>
    <row r="44" spans="1:12" ht="15" customHeight="1">
      <c r="A44" s="88" t="s">
        <v>163</v>
      </c>
      <c r="B44" s="86"/>
      <c r="C44" s="49"/>
      <c r="D44" s="68" t="s">
        <v>152</v>
      </c>
      <c r="E44" s="49">
        <v>4</v>
      </c>
      <c r="F44" s="49" t="s">
        <v>101</v>
      </c>
      <c r="G44" s="49">
        <v>24000</v>
      </c>
      <c r="H44" s="49" t="s">
        <v>93</v>
      </c>
      <c r="I44" s="52">
        <v>16413.426473758864</v>
      </c>
      <c r="J44" s="49"/>
      <c r="K44" s="49"/>
      <c r="L44" s="33"/>
    </row>
    <row r="45" spans="1:12" ht="15" customHeight="1">
      <c r="A45" s="32" t="s">
        <v>128</v>
      </c>
      <c r="B45" s="68" t="s">
        <v>129</v>
      </c>
      <c r="C45" s="49" t="s">
        <v>130</v>
      </c>
      <c r="D45" s="68" t="s">
        <v>144</v>
      </c>
      <c r="E45" s="68" t="s">
        <v>131</v>
      </c>
      <c r="F45" s="49" t="s">
        <v>132</v>
      </c>
      <c r="G45" s="49" t="s">
        <v>145</v>
      </c>
      <c r="H45" s="49" t="s">
        <v>146</v>
      </c>
      <c r="I45" s="49" t="s">
        <v>135</v>
      </c>
      <c r="J45" s="49" t="s">
        <v>147</v>
      </c>
      <c r="K45" s="49" t="s">
        <v>148</v>
      </c>
      <c r="L45" s="33" t="s">
        <v>149</v>
      </c>
    </row>
    <row r="46" spans="1:12" ht="15" customHeight="1">
      <c r="A46" s="69">
        <v>355</v>
      </c>
      <c r="B46" s="55">
        <v>1.1499999999999999</v>
      </c>
      <c r="C46" s="87">
        <v>222.39999999999998</v>
      </c>
      <c r="D46" s="35">
        <v>154.34782608695653</v>
      </c>
      <c r="E46" s="34">
        <v>1.3</v>
      </c>
      <c r="F46" s="35">
        <v>169.75416250000001</v>
      </c>
      <c r="G46" s="35">
        <v>4</v>
      </c>
      <c r="H46" s="34">
        <v>12</v>
      </c>
      <c r="I46" s="34">
        <v>12</v>
      </c>
      <c r="J46" s="34">
        <v>0.5</v>
      </c>
      <c r="K46" s="35">
        <v>36637.58902877698</v>
      </c>
      <c r="L46" s="70">
        <v>26395.576816901408</v>
      </c>
    </row>
    <row r="47" spans="1:12" ht="15" customHeight="1">
      <c r="A47" s="32">
        <v>6</v>
      </c>
      <c r="B47" s="86" t="s">
        <v>118</v>
      </c>
      <c r="C47" s="49"/>
      <c r="D47" s="49"/>
      <c r="E47" s="49"/>
      <c r="F47" s="49"/>
      <c r="G47" s="49"/>
      <c r="H47" s="49"/>
      <c r="I47" s="49"/>
      <c r="J47" s="49"/>
      <c r="K47" s="49"/>
      <c r="L47" s="33"/>
    </row>
    <row r="48" spans="1:12" ht="15" customHeight="1">
      <c r="A48" s="88" t="s">
        <v>163</v>
      </c>
      <c r="B48" s="86"/>
      <c r="C48" s="49"/>
      <c r="D48" s="68" t="s">
        <v>152</v>
      </c>
      <c r="E48" s="49">
        <v>4</v>
      </c>
      <c r="F48" s="49" t="s">
        <v>101</v>
      </c>
      <c r="G48" s="49">
        <v>24000</v>
      </c>
      <c r="H48" s="49" t="s">
        <v>93</v>
      </c>
      <c r="I48" s="52">
        <v>16413.426473758864</v>
      </c>
      <c r="J48" s="49"/>
      <c r="K48" s="49"/>
      <c r="L48" s="33"/>
    </row>
    <row r="49" spans="1:12" ht="15" customHeight="1">
      <c r="A49" s="32" t="s">
        <v>128</v>
      </c>
      <c r="B49" s="68" t="s">
        <v>129</v>
      </c>
      <c r="C49" s="49" t="s">
        <v>130</v>
      </c>
      <c r="D49" s="68" t="s">
        <v>144</v>
      </c>
      <c r="E49" s="68" t="s">
        <v>131</v>
      </c>
      <c r="F49" s="49" t="s">
        <v>132</v>
      </c>
      <c r="G49" s="49" t="s">
        <v>145</v>
      </c>
      <c r="H49" s="49" t="s">
        <v>146</v>
      </c>
      <c r="I49" s="49" t="s">
        <v>135</v>
      </c>
      <c r="J49" s="49" t="s">
        <v>147</v>
      </c>
      <c r="K49" s="49" t="s">
        <v>148</v>
      </c>
      <c r="L49" s="33" t="s">
        <v>149</v>
      </c>
    </row>
    <row r="50" spans="1:12" ht="15" customHeight="1">
      <c r="A50" s="69">
        <v>355</v>
      </c>
      <c r="B50" s="55">
        <v>1.1499999999999999</v>
      </c>
      <c r="C50" s="87">
        <v>222.39999999999998</v>
      </c>
      <c r="D50" s="35">
        <v>154.34782608695653</v>
      </c>
      <c r="E50" s="34">
        <v>1.3</v>
      </c>
      <c r="F50" s="35">
        <v>169.75416250000001</v>
      </c>
      <c r="G50" s="35">
        <v>4</v>
      </c>
      <c r="H50" s="34">
        <v>12</v>
      </c>
      <c r="I50" s="34">
        <v>12</v>
      </c>
      <c r="J50" s="34">
        <v>0.5</v>
      </c>
      <c r="K50" s="35">
        <v>36637.58902877698</v>
      </c>
      <c r="L50" s="70">
        <v>26395.576816901408</v>
      </c>
    </row>
    <row r="51" spans="1:12" ht="15" customHeight="1">
      <c r="A51" s="32">
        <v>7</v>
      </c>
      <c r="B51" s="86" t="s">
        <v>118</v>
      </c>
      <c r="C51" s="49"/>
      <c r="D51" s="49"/>
      <c r="E51" s="49"/>
      <c r="F51" s="49"/>
      <c r="G51" s="49"/>
      <c r="H51" s="49"/>
      <c r="I51" s="49"/>
      <c r="J51" s="49"/>
      <c r="K51" s="49"/>
      <c r="L51" s="33"/>
    </row>
    <row r="52" spans="1:12" ht="15" customHeight="1">
      <c r="A52" s="88" t="s">
        <v>163</v>
      </c>
      <c r="B52" s="86"/>
      <c r="C52" s="49"/>
      <c r="D52" s="68" t="s">
        <v>152</v>
      </c>
      <c r="E52" s="49">
        <v>4</v>
      </c>
      <c r="F52" s="49" t="s">
        <v>101</v>
      </c>
      <c r="G52" s="49">
        <v>24000</v>
      </c>
      <c r="H52" s="49" t="s">
        <v>93</v>
      </c>
      <c r="I52" s="52">
        <v>16413.426473758864</v>
      </c>
      <c r="J52" s="49"/>
      <c r="K52" s="49"/>
      <c r="L52" s="33"/>
    </row>
    <row r="53" spans="1:12" ht="15" customHeight="1">
      <c r="A53" s="32" t="s">
        <v>128</v>
      </c>
      <c r="B53" s="68" t="s">
        <v>129</v>
      </c>
      <c r="C53" s="49" t="s">
        <v>130</v>
      </c>
      <c r="D53" s="68" t="s">
        <v>144</v>
      </c>
      <c r="E53" s="68" t="s">
        <v>131</v>
      </c>
      <c r="F53" s="49" t="s">
        <v>132</v>
      </c>
      <c r="G53" s="49" t="s">
        <v>145</v>
      </c>
      <c r="H53" s="49" t="s">
        <v>146</v>
      </c>
      <c r="I53" s="49" t="s">
        <v>135</v>
      </c>
      <c r="J53" s="49" t="s">
        <v>147</v>
      </c>
      <c r="K53" s="49" t="s">
        <v>148</v>
      </c>
      <c r="L53" s="33" t="s">
        <v>149</v>
      </c>
    </row>
    <row r="54" spans="1:12" ht="15" customHeight="1">
      <c r="A54" s="69">
        <v>355</v>
      </c>
      <c r="B54" s="55">
        <v>1.1499999999999999</v>
      </c>
      <c r="C54" s="87">
        <v>222.39999999999998</v>
      </c>
      <c r="D54" s="35">
        <v>154.34782608695653</v>
      </c>
      <c r="E54" s="34">
        <v>1.3</v>
      </c>
      <c r="F54" s="35">
        <v>169.75416250000001</v>
      </c>
      <c r="G54" s="35">
        <v>4</v>
      </c>
      <c r="H54" s="34">
        <v>12</v>
      </c>
      <c r="I54" s="34">
        <v>12</v>
      </c>
      <c r="J54" s="34">
        <v>0.5</v>
      </c>
      <c r="K54" s="35">
        <v>36637.58902877698</v>
      </c>
      <c r="L54" s="70">
        <v>26395.576816901408</v>
      </c>
    </row>
    <row r="55" spans="1:12" ht="15" customHeight="1"/>
    <row r="56" spans="1:12" ht="15" customHeight="1"/>
    <row r="57" spans="1:12" ht="15" customHeight="1"/>
    <row r="58" spans="1:12" ht="15" customHeight="1"/>
    <row r="59" spans="1:12" ht="15" customHeight="1"/>
    <row r="60" spans="1:12" ht="15" customHeight="1"/>
    <row r="61" spans="1:12" ht="15" customHeight="1"/>
    <row r="62" spans="1:12" ht="15" customHeight="1"/>
    <row r="63" spans="1:12" ht="15" customHeight="1"/>
    <row r="64" spans="1:12" ht="15" customHeight="1"/>
    <row r="65" ht="15" customHeight="1"/>
    <row r="66" ht="15" customHeight="1"/>
    <row r="67" ht="15" customHeight="1"/>
    <row r="68" ht="15" customHeight="1"/>
    <row r="69" ht="15" customHeight="1"/>
    <row r="70" ht="15" customHeight="1"/>
    <row r="71" ht="15" customHeight="1"/>
    <row r="72" ht="15" customHeight="1"/>
    <row r="73" ht="15" customHeight="1"/>
    <row r="74" ht="15" customHeight="1"/>
    <row r="75" ht="15" customHeight="1"/>
    <row r="76" ht="15" customHeight="1"/>
    <row r="77" ht="15" customHeight="1"/>
    <row r="78" ht="15" customHeight="1"/>
    <row r="79" ht="15" customHeight="1"/>
    <row r="80" ht="15" customHeight="1"/>
    <row r="81" ht="15" customHeight="1"/>
    <row r="82" ht="15" customHeight="1"/>
    <row r="83" ht="15" customHeight="1"/>
    <row r="84" ht="15" customHeight="1"/>
    <row r="85" ht="15" customHeight="1"/>
    <row r="86" ht="15" customHeight="1"/>
    <row r="87" ht="15" customHeight="1"/>
    <row r="88" ht="15" customHeight="1"/>
    <row r="89" ht="15" customHeight="1"/>
    <row r="90" ht="15" customHeight="1"/>
    <row r="91" ht="15" customHeight="1"/>
    <row r="92" ht="15" customHeight="1"/>
    <row r="93" ht="15" customHeight="1"/>
    <row r="94" ht="15" customHeight="1"/>
    <row r="95" ht="15" customHeight="1"/>
    <row r="96" ht="15" customHeight="1"/>
    <row r="97" ht="15" customHeight="1"/>
    <row r="98" ht="15" customHeight="1"/>
    <row r="99" ht="15" customHeight="1"/>
    <row r="100" ht="15" customHeight="1"/>
    <row r="101" ht="15" customHeight="1"/>
    <row r="102" ht="15" customHeight="1"/>
    <row r="103" ht="15" customHeight="1"/>
    <row r="104" ht="15" customHeight="1"/>
    <row r="105" ht="15" customHeight="1"/>
    <row r="106" ht="15" customHeight="1"/>
    <row r="107" ht="15" customHeight="1"/>
    <row r="108" ht="15" customHeight="1"/>
    <row r="109" ht="15" customHeight="1"/>
    <row r="110" ht="15" customHeight="1"/>
    <row r="111" ht="15" customHeight="1"/>
    <row r="112" ht="15" customHeight="1"/>
    <row r="113" ht="15" customHeight="1"/>
    <row r="114" ht="15" customHeight="1"/>
    <row r="115" ht="15" customHeight="1"/>
    <row r="116" ht="15" customHeight="1"/>
    <row r="117" ht="15" customHeight="1"/>
    <row r="409" spans="1:12" ht="12" customHeight="1">
      <c r="A409"/>
      <c r="B409"/>
      <c r="C409"/>
      <c r="D409"/>
      <c r="E409"/>
      <c r="F409"/>
      <c r="G409"/>
      <c r="H409"/>
      <c r="I409"/>
      <c r="J409"/>
      <c r="K409"/>
      <c r="L409"/>
    </row>
    <row r="410" spans="1:12" ht="12" customHeight="1">
      <c r="A410"/>
      <c r="B410"/>
      <c r="C410"/>
      <c r="D410"/>
      <c r="E410"/>
      <c r="F410"/>
      <c r="G410"/>
      <c r="H410"/>
      <c r="I410"/>
      <c r="J410"/>
      <c r="K410"/>
      <c r="L410"/>
    </row>
    <row r="411" spans="1:12" ht="12" customHeight="1">
      <c r="A411"/>
      <c r="B411"/>
      <c r="C411"/>
      <c r="D411"/>
      <c r="E411"/>
      <c r="F411"/>
      <c r="G411"/>
      <c r="H411"/>
      <c r="I411"/>
      <c r="J411"/>
      <c r="K411"/>
      <c r="L411"/>
    </row>
    <row r="481" spans="1:12" ht="12" customHeight="1">
      <c r="A481"/>
      <c r="B481"/>
      <c r="C481"/>
      <c r="D481"/>
      <c r="E481"/>
      <c r="F481"/>
      <c r="G481"/>
      <c r="H481"/>
      <c r="I481"/>
      <c r="J481"/>
      <c r="K481"/>
      <c r="L481"/>
    </row>
    <row r="482" spans="1:12" ht="12" customHeight="1">
      <c r="A482"/>
      <c r="B482"/>
      <c r="C482"/>
      <c r="D482"/>
      <c r="E482"/>
      <c r="F482"/>
      <c r="G482"/>
      <c r="H482"/>
      <c r="I482"/>
      <c r="J482"/>
      <c r="K482"/>
      <c r="L482"/>
    </row>
    <row r="483" spans="1:12" ht="12" customHeight="1">
      <c r="A483"/>
      <c r="B483"/>
      <c r="C483"/>
      <c r="D483"/>
      <c r="E483"/>
      <c r="F483"/>
      <c r="G483"/>
      <c r="H483"/>
      <c r="I483"/>
      <c r="J483"/>
      <c r="K483"/>
      <c r="L483"/>
    </row>
  </sheetData>
  <mergeCells count="2">
    <mergeCell ref="E4:L5"/>
    <mergeCell ref="C7:J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Calculator3_Click">
                <anchor moveWithCells="1" siz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8</xdr:col>
                    <xdr:colOff>0</xdr:colOff>
                    <xdr:row>24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3_Click">
                <anchor moveWithCells="1" sizeWithCells="1">
                  <from>
                    <xdr:col>9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ClearAll3_Click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>
                <anchor moveWithCells="1" sizeWithCells="1">
                  <from>
                    <xdr:col>10</xdr:col>
                    <xdr:colOff>502920</xdr:colOff>
                    <xdr:row>24</xdr:row>
                    <xdr:rowOff>0</xdr:rowOff>
                  </from>
                  <to>
                    <xdr:col>12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Front</vt:lpstr>
      <vt:lpstr>Scantling</vt:lpstr>
      <vt:lpstr>Load</vt:lpstr>
      <vt:lpstr>Plates</vt:lpstr>
      <vt:lpstr>Stiffeners</vt:lpstr>
      <vt:lpstr>Sheet1</vt:lpstr>
      <vt:lpstr>Girder</vt:lpstr>
      <vt:lpstr>grav</vt:lpstr>
      <vt:lpstr>rho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MSI</dc:creator>
  <cp:keywords/>
  <dc:description/>
  <cp:lastModifiedBy>우열 정</cp:lastModifiedBy>
  <cp:revision/>
  <cp:lastPrinted>2023-10-13T03:58:09Z</cp:lastPrinted>
  <dcterms:created xsi:type="dcterms:W3CDTF">2023-07-28T00:04:22Z</dcterms:created>
  <dcterms:modified xsi:type="dcterms:W3CDTF">2023-10-25T10:20:30Z</dcterms:modified>
  <cp:category/>
  <cp:contentStatus/>
</cp:coreProperties>
</file>